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Julio\Freelance\Ula\HerramientaCostosHTPAdempa\CalculadoraAdempa\resources\"/>
    </mc:Choice>
  </mc:AlternateContent>
  <xr:revisionPtr revIDLastSave="0" documentId="13_ncr:1_{6A214898-DCFB-4877-897D-5532A8D0A9BE}" xr6:coauthVersionLast="47" xr6:coauthVersionMax="47" xr10:uidLastSave="{00000000-0000-0000-0000-000000000000}"/>
  <bookViews>
    <workbookView xWindow="2910" yWindow="645" windowWidth="21600" windowHeight="11835" xr2:uid="{00000000-000D-0000-FFFF-FFFF00000000}"/>
  </bookViews>
  <sheets>
    <sheet name="Calculadora Adempa Fase II" sheetId="2" r:id="rId1"/>
    <sheet name="Calculadora Adempa Fase I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3" i="2" l="1"/>
  <c r="I8" i="2"/>
  <c r="I9" i="2"/>
  <c r="I10" i="2"/>
  <c r="J39" i="2"/>
  <c r="I39" i="2"/>
  <c r="H39" i="2"/>
  <c r="J38" i="2"/>
  <c r="I38" i="2"/>
  <c r="H38" i="2"/>
  <c r="I37" i="2"/>
  <c r="H37" i="2"/>
  <c r="J37" i="2" s="1"/>
  <c r="J36" i="2"/>
  <c r="I36" i="2"/>
  <c r="I35" i="2" s="1"/>
  <c r="H36" i="2"/>
  <c r="H35" i="2" s="1"/>
  <c r="G35" i="2"/>
  <c r="D35" i="2"/>
  <c r="J33" i="2"/>
  <c r="I33" i="2"/>
  <c r="H33" i="2"/>
  <c r="J32" i="2"/>
  <c r="I32" i="2"/>
  <c r="H32" i="2"/>
  <c r="J31" i="2"/>
  <c r="I31" i="2"/>
  <c r="I30" i="2" s="1"/>
  <c r="J30" i="2" s="1"/>
  <c r="H31" i="2"/>
  <c r="H30" i="2"/>
  <c r="G30" i="2"/>
  <c r="D30" i="2"/>
  <c r="J29" i="2"/>
  <c r="I29" i="2"/>
  <c r="H29" i="2"/>
  <c r="I28" i="2"/>
  <c r="H28" i="2"/>
  <c r="J28" i="2" s="1"/>
  <c r="I27" i="2"/>
  <c r="I26" i="2" s="1"/>
  <c r="H27" i="2"/>
  <c r="H26" i="2" s="1"/>
  <c r="G26" i="2"/>
  <c r="D26" i="2"/>
  <c r="I25" i="2"/>
  <c r="H25" i="2"/>
  <c r="J25" i="2" s="1"/>
  <c r="J24" i="2"/>
  <c r="I24" i="2"/>
  <c r="H24" i="2"/>
  <c r="G23" i="2"/>
  <c r="D23" i="2"/>
  <c r="I22" i="2"/>
  <c r="H22" i="2"/>
  <c r="J22" i="2" s="1"/>
  <c r="I21" i="2"/>
  <c r="H21" i="2"/>
  <c r="J21" i="2" s="1"/>
  <c r="I20" i="2"/>
  <c r="H20" i="2"/>
  <c r="J19" i="2"/>
  <c r="I19" i="2"/>
  <c r="H19" i="2"/>
  <c r="J18" i="2"/>
  <c r="I18" i="2"/>
  <c r="H18" i="2"/>
  <c r="G17" i="2"/>
  <c r="D17" i="2"/>
  <c r="J16" i="2"/>
  <c r="I16" i="2"/>
  <c r="H16" i="2"/>
  <c r="J15" i="2"/>
  <c r="I15" i="2"/>
  <c r="H15" i="2"/>
  <c r="J14" i="2"/>
  <c r="I14" i="2"/>
  <c r="H14" i="2"/>
  <c r="G13" i="2"/>
  <c r="D13" i="2"/>
  <c r="J12" i="2"/>
  <c r="I12" i="2"/>
  <c r="I11" i="2" s="1"/>
  <c r="H12" i="2"/>
  <c r="H11" i="2" s="1"/>
  <c r="G11" i="2"/>
  <c r="D11" i="2"/>
  <c r="J10" i="2"/>
  <c r="H10" i="2"/>
  <c r="J9" i="2"/>
  <c r="H9" i="2"/>
  <c r="J8" i="2"/>
  <c r="H8" i="2"/>
  <c r="G7" i="2"/>
  <c r="D7" i="2"/>
  <c r="D5" i="2"/>
  <c r="G5" i="1"/>
  <c r="D5" i="1"/>
  <c r="D35" i="1"/>
  <c r="H38" i="1"/>
  <c r="H39" i="1"/>
  <c r="I38" i="1"/>
  <c r="I39" i="1"/>
  <c r="J38" i="1"/>
  <c r="J39" i="1"/>
  <c r="D50" i="2" a="1"/>
  <c r="D45" i="2" a="1"/>
  <c r="D50" i="1" a="1"/>
  <c r="D43" i="1" a="1"/>
  <c r="D49" i="2" a="1"/>
  <c r="D44" i="2" a="1"/>
  <c r="D48" i="1" a="1"/>
  <c r="D48" i="2" a="1"/>
  <c r="D43" i="2" a="1"/>
  <c r="D49" i="1" a="1"/>
  <c r="H23" i="2" l="1"/>
  <c r="I23" i="2"/>
  <c r="J23" i="2" s="1"/>
  <c r="I17" i="2"/>
  <c r="J17" i="2" s="1"/>
  <c r="H17" i="2"/>
  <c r="H13" i="2"/>
  <c r="I13" i="2"/>
  <c r="J13" i="2" s="1"/>
  <c r="H7" i="2"/>
  <c r="I7" i="2"/>
  <c r="D43" i="2"/>
  <c r="D48" i="2"/>
  <c r="D44" i="2"/>
  <c r="D49" i="2"/>
  <c r="D45" i="2"/>
  <c r="D50" i="2"/>
  <c r="E49" i="2"/>
  <c r="J26" i="2"/>
  <c r="J35" i="2"/>
  <c r="J11" i="2"/>
  <c r="J20" i="2"/>
  <c r="D4" i="2"/>
  <c r="J27" i="2"/>
  <c r="E48" i="2"/>
  <c r="E44" i="2"/>
  <c r="D48" i="1"/>
  <c r="D50" i="1"/>
  <c r="D49" i="1"/>
  <c r="D43" i="1"/>
  <c r="G35" i="1"/>
  <c r="H5" i="2" l="1"/>
  <c r="G5" i="2"/>
  <c r="L5" i="2" s="1"/>
  <c r="I5" i="2"/>
  <c r="J7" i="2"/>
  <c r="E3" i="2"/>
  <c r="E48" i="1"/>
  <c r="I37" i="1" l="1"/>
  <c r="H37" i="1"/>
  <c r="J37" i="1" s="1"/>
  <c r="J36" i="1"/>
  <c r="I36" i="1"/>
  <c r="H36" i="1"/>
  <c r="D30" i="1"/>
  <c r="G30" i="1"/>
  <c r="H31" i="1"/>
  <c r="I31" i="1"/>
  <c r="H32" i="1"/>
  <c r="J32" i="1" s="1"/>
  <c r="I32" i="1"/>
  <c r="H33" i="1"/>
  <c r="J33" i="1" s="1"/>
  <c r="I33" i="1"/>
  <c r="H28" i="1"/>
  <c r="H29" i="1"/>
  <c r="J29" i="1" s="1"/>
  <c r="H25" i="1"/>
  <c r="J25" i="1" s="1"/>
  <c r="H19" i="1"/>
  <c r="H20" i="1"/>
  <c r="J20" i="1" s="1"/>
  <c r="H21" i="1"/>
  <c r="J21" i="1" s="1"/>
  <c r="H22" i="1"/>
  <c r="J22" i="1" s="1"/>
  <c r="H15" i="1"/>
  <c r="H16" i="1"/>
  <c r="J16" i="1" s="1"/>
  <c r="H14" i="1"/>
  <c r="H12" i="1"/>
  <c r="H11" i="1" s="1"/>
  <c r="H8" i="1"/>
  <c r="H10" i="1"/>
  <c r="H9" i="1"/>
  <c r="D26" i="1"/>
  <c r="D23" i="1"/>
  <c r="D17" i="1"/>
  <c r="D13" i="1"/>
  <c r="D11" i="1"/>
  <c r="D7" i="1"/>
  <c r="G23" i="1"/>
  <c r="G11" i="1"/>
  <c r="G7" i="1"/>
  <c r="G26" i="1"/>
  <c r="G17" i="1"/>
  <c r="G13" i="1"/>
  <c r="J28" i="1"/>
  <c r="H27" i="1"/>
  <c r="H24" i="1"/>
  <c r="H18" i="1"/>
  <c r="J18" i="1" s="1"/>
  <c r="J15" i="1"/>
  <c r="J10" i="1"/>
  <c r="J9" i="1"/>
  <c r="I8" i="1"/>
  <c r="I29" i="1"/>
  <c r="I28" i="1"/>
  <c r="I27" i="1"/>
  <c r="I25" i="1"/>
  <c r="I24" i="1"/>
  <c r="I22" i="1"/>
  <c r="I21" i="1"/>
  <c r="I20" i="1"/>
  <c r="I19" i="1"/>
  <c r="J19" i="1"/>
  <c r="I18" i="1"/>
  <c r="I16" i="1"/>
  <c r="I15" i="1"/>
  <c r="I14" i="1"/>
  <c r="I12" i="1"/>
  <c r="I11" i="1" s="1"/>
  <c r="I10" i="1"/>
  <c r="I9" i="1"/>
  <c r="J8" i="1"/>
  <c r="D45" i="1" a="1"/>
  <c r="D44" i="1" a="1"/>
  <c r="H35" i="1" l="1"/>
  <c r="I35" i="1"/>
  <c r="I7" i="1"/>
  <c r="I23" i="1"/>
  <c r="H26" i="1"/>
  <c r="I30" i="1"/>
  <c r="H30" i="1"/>
  <c r="I26" i="1"/>
  <c r="J31" i="1"/>
  <c r="I13" i="1"/>
  <c r="I17" i="1"/>
  <c r="H17" i="1"/>
  <c r="H23" i="1"/>
  <c r="H7" i="1"/>
  <c r="D45" i="1"/>
  <c r="D44" i="1"/>
  <c r="H13" i="1"/>
  <c r="J27" i="1"/>
  <c r="J14" i="1"/>
  <c r="J12" i="1"/>
  <c r="J24" i="1"/>
  <c r="J35" i="1" l="1"/>
  <c r="E49" i="1"/>
  <c r="E43" i="1"/>
  <c r="J23" i="1"/>
  <c r="J30" i="1"/>
  <c r="I5" i="1"/>
  <c r="J7" i="1"/>
  <c r="J13" i="1"/>
  <c r="J11" i="1"/>
  <c r="E44" i="1"/>
  <c r="L5" i="1"/>
  <c r="J26" i="1"/>
  <c r="D4" i="1"/>
  <c r="J17" i="1"/>
  <c r="H5" i="1"/>
  <c r="E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<sst xmlns="http://schemas.openxmlformats.org/spreadsheetml/2006/main" count="234" uniqueCount="99">
  <si>
    <t>ALCANCE</t>
  </si>
  <si>
    <r>
      <rPr>
        <b/>
        <sz val="10"/>
        <color rgb="FF34A853"/>
        <rFont val="Roboto"/>
      </rPr>
      <t>Esta hoja de cálculo corresponde a la estimacion y seguimiento</t>
    </r>
    <r>
      <rPr>
        <sz val="10"/>
        <color rgb="FF000000"/>
        <rFont val="Roboto"/>
      </rPr>
      <t xml:space="preserve"> del desarrollo de la </t>
    </r>
    <r>
      <rPr>
        <sz val="10"/>
        <color rgb="FF4285F4"/>
        <rFont val="Roboto"/>
      </rPr>
      <t>herramienta de costos HTP Adema Veeva</t>
    </r>
    <r>
      <rPr>
        <sz val="10"/>
        <color rgb="FF000000"/>
        <rFont val="Roboto"/>
      </rPr>
      <t xml:space="preserve">. 
</t>
    </r>
    <r>
      <rPr>
        <b/>
        <sz val="10"/>
        <color rgb="FFFBBC04"/>
        <rFont val="Roboto"/>
      </rPr>
      <t>Componentes: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Análisis, Entendimiento y Definición:</t>
    </r>
    <r>
      <rPr>
        <sz val="10"/>
        <color rgb="FF000000"/>
        <rFont val="Roboto"/>
      </rPr>
      <t xml:space="preserve"> Revisión de requerimientos, especificaciones y diseño de la arquitectura .
</t>
    </r>
    <r>
      <rPr>
        <sz val="10"/>
        <color rgb="FF4285F4"/>
        <rFont val="Roboto"/>
      </rPr>
      <t>Desarrollo Front-End:</t>
    </r>
    <r>
      <rPr>
        <sz val="10"/>
        <color rgb="FF000000"/>
        <rFont val="Roboto"/>
      </rPr>
      <t xml:space="preserve"> Creación de la interfaz de usuario con HTML5, CSS3 y JavaScript.
</t>
    </r>
    <r>
      <rPr>
        <sz val="10"/>
        <color rgb="FF4285F4"/>
        <rFont val="Roboto"/>
      </rPr>
      <t>Desarrollo Back-End:</t>
    </r>
    <r>
      <rPr>
        <sz val="10"/>
        <color rgb="FF000000"/>
        <rFont val="Roboto"/>
      </rPr>
      <t xml:space="preserve"> Programación de la lógica de la calculadora, creación de JSON y almacenamiento en LocalStorage.
</t>
    </r>
    <r>
      <rPr>
        <sz val="10"/>
        <color rgb="FF4285F4"/>
        <rFont val="Roboto"/>
      </rPr>
      <t>Despliegue:</t>
    </r>
    <r>
      <rPr>
        <sz val="10"/>
        <color rgb="FF000000"/>
        <rFont val="Roboto"/>
      </rPr>
      <t xml:space="preserve"> Implementación y pruebas en la plataforma Veeva.
</t>
    </r>
    <r>
      <rPr>
        <b/>
        <sz val="10"/>
        <color rgb="FFFBBC04"/>
        <rFont val="Roboto"/>
      </rPr>
      <t>Tecnologías a Emplear: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Front-End:</t>
    </r>
    <r>
      <rPr>
        <sz val="10"/>
        <color rgb="FF000000"/>
        <rFont val="Roboto"/>
      </rPr>
      <t xml:space="preserve"> HTML5, CSS3, JavaScript Moderno (incluyendo librerías relevantes).
</t>
    </r>
    <r>
      <rPr>
        <sz val="10"/>
        <color rgb="FF4285F4"/>
        <rFont val="Roboto"/>
      </rPr>
      <t xml:space="preserve">Back-End: </t>
    </r>
    <r>
      <rPr>
        <sz val="10"/>
        <color rgb="FF000000"/>
        <rFont val="Roboto"/>
      </rPr>
      <t xml:space="preserve">JavaScript (para lógica y manejo de datos con JSON y LocalStorage).
</t>
    </r>
    <r>
      <rPr>
        <b/>
        <sz val="10"/>
        <color rgb="FFEA4335"/>
        <rFont val="Roboto"/>
      </rPr>
      <t>Notas Adicionales:</t>
    </r>
    <r>
      <rPr>
        <sz val="10"/>
        <color rgb="FF000000"/>
        <rFont val="Roboto"/>
      </rPr>
      <t xml:space="preserve">
Los tiempos estimados no incluyen pausas por prioridad, horarios de capacitaciones, reuniones de seguimiento o de cualquier otro tipo y/o eventos no controlados por el desarrollador, tales como reprocesos por información del cliente y ajustes solicitados, entre otros.
</t>
    </r>
    <r>
      <rPr>
        <i/>
        <sz val="10"/>
        <color rgb="FF000000"/>
        <rFont val="Roboto"/>
      </rPr>
      <t>Estimación realizada para un equipo de dos programadores, con Julio Cesar Calderón responsable del 60% del desarrollo y Maria Contreras apoyando el 40%.</t>
    </r>
    <r>
      <rPr>
        <sz val="10"/>
        <color rgb="FF000000"/>
        <rFont val="Roboto"/>
      </rPr>
      <t xml:space="preserve">
La anterior estimación se desarrolló por </t>
    </r>
    <r>
      <rPr>
        <b/>
        <i/>
        <sz val="10"/>
        <color rgb="FF000000"/>
        <rFont val="Roboto"/>
      </rPr>
      <t>Julio Cesar Calderón, el día 7de junio del 2024.</t>
    </r>
  </si>
  <si>
    <t>Herramienta costos HTP Adempa</t>
  </si>
  <si>
    <r>
      <rPr>
        <b/>
        <sz val="10"/>
        <color rgb="FFFFFFFF"/>
        <rFont val="Roboto"/>
      </rPr>
      <t xml:space="preserve">Estimación Bajo Nivel (Precisión &amp; Detalle </t>
    </r>
    <r>
      <rPr>
        <b/>
        <sz val="10"/>
        <color rgb="FF34A853"/>
        <rFont val="Roboto"/>
      </rPr>
      <t>Alto</t>
    </r>
    <r>
      <rPr>
        <b/>
        <sz val="10"/>
        <color rgb="FFFFFFFF"/>
        <rFont val="Roboto"/>
      </rPr>
      <t>)</t>
    </r>
  </si>
  <si>
    <t>Seguimiento</t>
  </si>
  <si>
    <t>TOTAL Esfuerzo Estimado: (días Laborales)</t>
  </si>
  <si>
    <t>TOTAL Esfuerzo Estimado: (Horas)</t>
  </si>
  <si>
    <t>Esfuerzo Ejecutado: (Horas)</t>
  </si>
  <si>
    <t>Avance del proyecto: (%)</t>
  </si>
  <si>
    <t>ID</t>
  </si>
  <si>
    <t>Requerimiento</t>
  </si>
  <si>
    <t>Actividad</t>
  </si>
  <si>
    <t>Tiempo esfuerzo (Horas)</t>
  </si>
  <si>
    <r>
      <rPr>
        <b/>
        <sz val="10"/>
        <color rgb="FFFFFFFF"/>
        <rFont val="Roboto"/>
      </rPr>
      <t xml:space="preserve">Estado
</t>
    </r>
    <r>
      <rPr>
        <sz val="10"/>
        <color theme="6"/>
        <rFont val="Roboto"/>
      </rPr>
      <t>En Progreso</t>
    </r>
    <r>
      <rPr>
        <b/>
        <sz val="10"/>
        <color rgb="FFFFFFFF"/>
        <rFont val="Roboto"/>
      </rPr>
      <t xml:space="preserve">
</t>
    </r>
    <r>
      <rPr>
        <sz val="10"/>
        <color rgb="FFEA4335"/>
        <rFont val="Roboto"/>
      </rPr>
      <t>Estancado</t>
    </r>
    <r>
      <rPr>
        <b/>
        <sz val="10"/>
        <color rgb="FFFFFFFF"/>
        <rFont val="Roboto"/>
      </rPr>
      <t xml:space="preserve">
</t>
    </r>
    <r>
      <rPr>
        <sz val="10"/>
        <color rgb="FF34A853"/>
        <rFont val="Roboto"/>
      </rPr>
      <t>Listo</t>
    </r>
  </si>
  <si>
    <t>Ejecución (Horas)</t>
  </si>
  <si>
    <t>Desfases (Horas)</t>
  </si>
  <si>
    <t>Ganancia
(Horas)</t>
  </si>
  <si>
    <t>Avance (%)</t>
  </si>
  <si>
    <t>Detalle</t>
  </si>
  <si>
    <t>Conceptualización</t>
  </si>
  <si>
    <t>Análisis y Entendimiento</t>
  </si>
  <si>
    <t xml:space="preserve">Preparación y Planificación </t>
  </si>
  <si>
    <t>Realizar estimación bajo nivel</t>
  </si>
  <si>
    <r>
      <rPr>
        <b/>
        <sz val="10"/>
        <color theme="1"/>
        <rFont val="Roboto"/>
      </rPr>
      <t xml:space="preserve">07/06/2024
</t>
    </r>
    <r>
      <rPr>
        <b/>
        <sz val="10"/>
        <color rgb="FF34A853"/>
        <rFont val="Roboto"/>
      </rPr>
      <t>07/06/2024</t>
    </r>
  </si>
  <si>
    <t>Listo</t>
  </si>
  <si>
    <t>Revisión de requerimientos y especificaciones.</t>
  </si>
  <si>
    <t>Pendiente</t>
  </si>
  <si>
    <t>Comprensión completa del proyecto, revisión de los slides y del Excel con la simulación de costos.</t>
  </si>
  <si>
    <t xml:space="preserve">Conceptualización	</t>
  </si>
  <si>
    <t xml:space="preserve">Definición </t>
  </si>
  <si>
    <t xml:space="preserve">Diseño de la Arquitectura </t>
  </si>
  <si>
    <t>Diseño de la estructura de la calculadora, segmentacion de slides, diagramas de flujo, definición de componentes front-end, back-end y elección de librerías.</t>
  </si>
  <si>
    <t>Construcción</t>
  </si>
  <si>
    <t>Desarrollo Front-End</t>
  </si>
  <si>
    <t>Desarrollo de la interfaz de usuario</t>
  </si>
  <si>
    <t xml:space="preserve">Creación del diseño básico y layout en HTML y CSS3/Actualización Veeva  24R1 </t>
  </si>
  <si>
    <t xml:space="preserve">Implementación de la lógica de interactividad con JavaScript, validación de campos input /Actualización Veeva  24R1 </t>
  </si>
  <si>
    <t>Pruebas y ajustes de usabilidad y compatibilidad</t>
  </si>
  <si>
    <t>Desarrollo Back-End</t>
  </si>
  <si>
    <t>Programación de la lógica de la calculadora</t>
  </si>
  <si>
    <t>Creación de JSON con la información base y almacenamiento en LocalStorage</t>
  </si>
  <si>
    <t>Validacion de campos</t>
  </si>
  <si>
    <t>Desarrollo de la lógica de cálculos en JavaScript</t>
  </si>
  <si>
    <t>Integración del JSON con el front-end.</t>
  </si>
  <si>
    <t>Pruebas y depuración</t>
  </si>
  <si>
    <t>Integración y Pruebas</t>
  </si>
  <si>
    <t xml:space="preserve"> Integración y pruebas funcionales </t>
  </si>
  <si>
    <t>Integración de todos los componentes.</t>
  </si>
  <si>
    <t>Pruebas funcionales y ajuste de errores.</t>
  </si>
  <si>
    <t>Transición</t>
  </si>
  <si>
    <t>Despliegue</t>
  </si>
  <si>
    <t>Despliegue y configuración en Veeva.</t>
  </si>
  <si>
    <t>Configuración inicial y despliegue. (VEEVA CRM)</t>
  </si>
  <si>
    <t>Pruebas de despliegue y ajuste final.</t>
  </si>
  <si>
    <t>Documentación y revisión final del proyecto. si se requiere</t>
  </si>
  <si>
    <t xml:space="preserve">Activacion para fuerza de ventas </t>
  </si>
  <si>
    <t>Montaje en ContentFactory</t>
  </si>
  <si>
    <t>Tagging en ContentFactory</t>
  </si>
  <si>
    <t>Revision (VEEVA CRM)</t>
  </si>
  <si>
    <t>Activación</t>
  </si>
  <si>
    <t>Porcentaje</t>
  </si>
  <si>
    <t>Esfuerzo Horas</t>
  </si>
  <si>
    <t>Recurso</t>
  </si>
  <si>
    <t>Julio Calderón</t>
  </si>
  <si>
    <t>Fernanda Contreras</t>
  </si>
  <si>
    <t>Equipo</t>
  </si>
  <si>
    <t>En Progreso</t>
  </si>
  <si>
    <r>
      <t xml:space="preserve">25/06/2024
</t>
    </r>
    <r>
      <rPr>
        <b/>
        <sz val="10"/>
        <color theme="5"/>
        <rFont val="Roboto"/>
      </rPr>
      <t>25/06/2024</t>
    </r>
  </si>
  <si>
    <r>
      <rPr>
        <b/>
        <i/>
        <sz val="10"/>
        <color theme="1"/>
        <rFont val="Roboto"/>
      </rPr>
      <t>Inicio del proyecto martes 25/06/2024</t>
    </r>
    <r>
      <rPr>
        <sz val="10"/>
        <color theme="1"/>
        <rFont val="Roboto"/>
      </rPr>
      <t xml:space="preserve">
</t>
    </r>
    <r>
      <rPr>
        <b/>
        <i/>
        <sz val="10"/>
        <color theme="7"/>
        <rFont val="Roboto"/>
      </rPr>
      <t xml:space="preserve">se recibio: </t>
    </r>
    <r>
      <rPr>
        <i/>
        <sz val="10"/>
        <rFont val="Roboto"/>
      </rPr>
      <t xml:space="preserve">material illustrator y excel version final </t>
    </r>
    <r>
      <rPr>
        <b/>
        <i/>
        <sz val="10"/>
        <rFont val="Roboto"/>
      </rPr>
      <t xml:space="preserve">
</t>
    </r>
    <r>
      <rPr>
        <b/>
        <i/>
        <sz val="10"/>
        <color theme="8"/>
        <rFont val="Roboto"/>
      </rPr>
      <t xml:space="preserve">Pendiente
</t>
    </r>
    <r>
      <rPr>
        <i/>
        <sz val="10"/>
        <color rgb="FF000000"/>
        <rFont val="Roboto"/>
      </rPr>
      <t>- Tipo de graficas /colores
- Documentos Bases Teóricas</t>
    </r>
  </si>
  <si>
    <t xml:space="preserve"> </t>
  </si>
  <si>
    <r>
      <t xml:space="preserve">27/06/2024
</t>
    </r>
    <r>
      <rPr>
        <b/>
        <sz val="10"/>
        <color theme="7"/>
        <rFont val="Roboto"/>
      </rPr>
      <t>09/07/2024</t>
    </r>
  </si>
  <si>
    <r>
      <t xml:space="preserve">28/06/2024
</t>
    </r>
    <r>
      <rPr>
        <b/>
        <sz val="10"/>
        <color theme="7"/>
        <rFont val="Roboto"/>
      </rPr>
      <t>11/07/2024</t>
    </r>
  </si>
  <si>
    <t>se realiza JSON: menu, navegación, input, tratamientos(mono,dobles,triples)</t>
  </si>
  <si>
    <t>se crea compononte input, popup</t>
  </si>
  <si>
    <r>
      <t xml:space="preserve">se integra librería Tailwind y animate como unicas librerías
creación repositorio de gitHub: </t>
    </r>
    <r>
      <rPr>
        <b/>
        <i/>
        <sz val="10"/>
        <color theme="4"/>
        <rFont val="Roboto"/>
      </rPr>
      <t>https://github.com/juliansfreelance/CalculadoraAdempa.git</t>
    </r>
    <r>
      <rPr>
        <i/>
        <sz val="10"/>
        <color theme="1"/>
        <rFont val="Roboto"/>
      </rPr>
      <t xml:space="preserve">
creación repositorio de gitHub: https://github.com/juliansfreelance/CalculadoraAdempa.git</t>
    </r>
  </si>
  <si>
    <r>
      <t xml:space="preserve">26/06/2024
</t>
    </r>
    <r>
      <rPr>
        <b/>
        <sz val="10"/>
        <color theme="7"/>
        <rFont val="Roboto"/>
      </rPr>
      <t>05/07/2024</t>
    </r>
  </si>
  <si>
    <r>
      <t>Fechas</t>
    </r>
    <r>
      <rPr>
        <b/>
        <sz val="10"/>
        <color rgb="FF000000"/>
        <rFont val="Roboto"/>
      </rPr>
      <t xml:space="preserve">
</t>
    </r>
    <r>
      <rPr>
        <sz val="10"/>
        <color rgb="FF000000"/>
        <rFont val="Roboto"/>
      </rPr>
      <t xml:space="preserve">Fecha de inicio
</t>
    </r>
    <r>
      <rPr>
        <sz val="10"/>
        <color rgb="FFEA4335"/>
        <rFont val="Roboto"/>
      </rPr>
      <t>Fecha de interrupción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Fecha de Reinicio</t>
    </r>
    <r>
      <rPr>
        <sz val="10"/>
        <color rgb="FF000000"/>
        <rFont val="Roboto"/>
      </rPr>
      <t xml:space="preserve">
</t>
    </r>
    <r>
      <rPr>
        <sz val="10"/>
        <color rgb="FF34A853"/>
        <rFont val="Roboto"/>
      </rPr>
      <t>Fecha final</t>
    </r>
  </si>
  <si>
    <r>
      <t xml:space="preserve">5/07/2024
</t>
    </r>
    <r>
      <rPr>
        <b/>
        <sz val="10"/>
        <color theme="7"/>
        <rFont val="Roboto"/>
      </rPr>
      <t>21/07/2024</t>
    </r>
  </si>
  <si>
    <r>
      <t xml:space="preserve">25/06/2024
</t>
    </r>
    <r>
      <rPr>
        <b/>
        <sz val="10"/>
        <color theme="5"/>
        <rFont val="Roboto"/>
      </rPr>
      <t xml:space="preserve">25/06/2024
</t>
    </r>
    <r>
      <rPr>
        <b/>
        <sz val="10"/>
        <color theme="4"/>
        <rFont val="Roboto"/>
      </rPr>
      <t xml:space="preserve">27/06/2024
</t>
    </r>
    <r>
      <rPr>
        <b/>
        <sz val="10"/>
        <color theme="7"/>
        <rFont val="Roboto"/>
      </rPr>
      <t>26/07/2024</t>
    </r>
  </si>
  <si>
    <r>
      <t xml:space="preserve">creacion de dominio para QA: </t>
    </r>
    <r>
      <rPr>
        <b/>
        <sz val="10"/>
        <color theme="4"/>
        <rFont val="Roboto"/>
      </rPr>
      <t>https://juliansfreelance.github.io/CalculadoraAdempa/</t>
    </r>
  </si>
  <si>
    <t>No se entienden los calculos ni los input de procedimientos</t>
  </si>
  <si>
    <r>
      <t xml:space="preserve">18/07/2024
</t>
    </r>
    <r>
      <rPr>
        <b/>
        <sz val="10"/>
        <color theme="5"/>
        <rFont val="Roboto"/>
      </rPr>
      <t>26/07/2024</t>
    </r>
  </si>
  <si>
    <t>No es entendible el recuadro de complicaciones</t>
  </si>
  <si>
    <t>Se crea web component para validacion sobre todos los campos de manera dinamica</t>
  </si>
  <si>
    <r>
      <t xml:space="preserve">2/07/2024
</t>
    </r>
    <r>
      <rPr>
        <b/>
        <sz val="10"/>
        <color rgb="FF00B050"/>
        <rFont val="Roboto"/>
      </rPr>
      <t>18/07/2024</t>
    </r>
  </si>
  <si>
    <t xml:space="preserve">se subieron cambios se integro todo y se probo en veeva </t>
  </si>
  <si>
    <r>
      <t xml:space="preserve">Reunión con el cliente 27/06/11
</t>
    </r>
    <r>
      <rPr>
        <b/>
        <i/>
        <sz val="10"/>
        <color theme="7"/>
        <rFont val="Roboto"/>
      </rPr>
      <t>Reunion final de entendimiento y ajustes control de cambios 26/07/2024</t>
    </r>
    <r>
      <rPr>
        <b/>
        <i/>
        <sz val="10"/>
        <color rgb="FF000000"/>
        <rFont val="Roboto"/>
      </rPr>
      <t xml:space="preserve">
</t>
    </r>
    <r>
      <rPr>
        <b/>
        <i/>
        <sz val="10"/>
        <color theme="5"/>
        <rFont val="Roboto"/>
      </rPr>
      <t xml:space="preserve">No se habia diseñado ni tenido encuenta: </t>
    </r>
    <r>
      <rPr>
        <b/>
        <i/>
        <sz val="10"/>
        <color rgb="FF000000"/>
        <rFont val="Roboto"/>
      </rPr>
      <t xml:space="preserve">
- Distrubucion estadificación de riesgo (Slide 5)
- Microcosteo Complicaciones (Slide 6)
- Todo el flujo de Costo por procedimientos (Slide 6)</t>
    </r>
  </si>
  <si>
    <t>Control de Cambios</t>
  </si>
  <si>
    <t>Cambios</t>
  </si>
  <si>
    <t>Estimación Cambios</t>
  </si>
  <si>
    <t>Esfuerzo Horas + Cambios</t>
  </si>
  <si>
    <t>Agregar visual y logica Estadificación de riegos (Slide 5)</t>
  </si>
  <si>
    <t>Agregar visual y logica Microcosteo Complicaciones (Slide 6)</t>
  </si>
  <si>
    <t>Agragar visual y logica Costos de procedimiento (Slide 6)</t>
  </si>
  <si>
    <t xml:space="preserve">Ajustar e integrar calculos backend implementar logica </t>
  </si>
  <si>
    <r>
      <t xml:space="preserve">17/07/2024
</t>
    </r>
    <r>
      <rPr>
        <b/>
        <sz val="10"/>
        <color theme="7"/>
        <rFont val="Roboto"/>
      </rPr>
      <t>24/07/2023</t>
    </r>
  </si>
  <si>
    <r>
      <t xml:space="preserve">1/07/2024
</t>
    </r>
    <r>
      <rPr>
        <b/>
        <sz val="10"/>
        <color theme="7"/>
        <rFont val="Roboto"/>
      </rPr>
      <t>25/07/2024</t>
    </r>
  </si>
  <si>
    <t>Se crea este control de cambios llevado acabo en la sección 26/07/2024</t>
  </si>
  <si>
    <r>
      <rPr>
        <b/>
        <sz val="10"/>
        <color rgb="FF7030A0"/>
        <rFont val="Roboto"/>
      </rPr>
      <t>Esta hoja de cálculo corresponde a la estimacion y seguimiento</t>
    </r>
    <r>
      <rPr>
        <sz val="10"/>
        <color rgb="FF7030A0"/>
        <rFont val="Roboto"/>
      </rPr>
      <t xml:space="preserve"> del desarrollo de la herramienta de costos Adema despliegue Veeva </t>
    </r>
    <r>
      <rPr>
        <b/>
        <sz val="10"/>
        <color rgb="FF4285F4"/>
        <rFont val="Roboto"/>
      </rPr>
      <t>FASE II</t>
    </r>
    <r>
      <rPr>
        <sz val="10"/>
        <color rgb="FF000000"/>
        <rFont val="Roboto"/>
      </rPr>
      <t xml:space="preserve">. 
</t>
    </r>
    <r>
      <rPr>
        <b/>
        <sz val="10"/>
        <color theme="7"/>
        <rFont val="Roboto"/>
      </rPr>
      <t>Componentes:</t>
    </r>
    <r>
      <rPr>
        <sz val="10"/>
        <color rgb="FF000000"/>
        <rFont val="Roboto"/>
      </rPr>
      <t xml:space="preserve">
</t>
    </r>
    <r>
      <rPr>
        <b/>
        <sz val="10"/>
        <color rgb="FF4285F4"/>
        <rFont val="Roboto"/>
      </rPr>
      <t>Análisis, Entendimiento y Definición:</t>
    </r>
    <r>
      <rPr>
        <b/>
        <sz val="10"/>
        <color rgb="FF000000"/>
        <rFont val="Roboto"/>
      </rPr>
      <t xml:space="preserve"> </t>
    </r>
    <r>
      <rPr>
        <sz val="10"/>
        <color rgb="FF000000"/>
        <rFont val="Roboto"/>
      </rPr>
      <t xml:space="preserve">Revisión de requerimientos, especificaciones y diseño de la arquitectura .
</t>
    </r>
    <r>
      <rPr>
        <b/>
        <sz val="10"/>
        <color rgb="FF4285F4"/>
        <rFont val="Roboto"/>
      </rPr>
      <t>Desarrollo Front-End:</t>
    </r>
    <r>
      <rPr>
        <sz val="10"/>
        <color rgb="FF000000"/>
        <rFont val="Roboto"/>
      </rPr>
      <t xml:space="preserve"> Creación de la interfaz de usuario nuevos componentes con HTML5, CSS3 y JavaScript.
</t>
    </r>
    <r>
      <rPr>
        <b/>
        <sz val="10"/>
        <color rgb="FF4285F4"/>
        <rFont val="Roboto"/>
      </rPr>
      <t>Desarrollo Back-End:</t>
    </r>
    <r>
      <rPr>
        <sz val="10"/>
        <color rgb="FF000000"/>
        <rFont val="Roboto"/>
      </rPr>
      <t xml:space="preserve"> Programación de la lógica de la calculadora, creación de INDEX BD para remplazo de JSON y almacenamiento en LocalStorage.
</t>
    </r>
    <r>
      <rPr>
        <b/>
        <sz val="10"/>
        <color rgb="FF4285F4"/>
        <rFont val="Roboto"/>
      </rPr>
      <t>Despliegue:</t>
    </r>
    <r>
      <rPr>
        <b/>
        <sz val="10"/>
        <color rgb="FF000000"/>
        <rFont val="Roboto"/>
      </rPr>
      <t xml:space="preserve"> </t>
    </r>
    <r>
      <rPr>
        <sz val="10"/>
        <color rgb="FF000000"/>
        <rFont val="Roboto"/>
      </rPr>
      <t xml:space="preserve">Implementación y pruebas en la plataforma Veeva.
</t>
    </r>
    <r>
      <rPr>
        <b/>
        <sz val="10"/>
        <color theme="7"/>
        <rFont val="Roboto"/>
      </rPr>
      <t>Tecnologías a Emplear:</t>
    </r>
    <r>
      <rPr>
        <sz val="10"/>
        <color theme="7"/>
        <rFont val="Roboto"/>
      </rPr>
      <t xml:space="preserve">
</t>
    </r>
    <r>
      <rPr>
        <b/>
        <sz val="10"/>
        <color rgb="FF4285F4"/>
        <rFont val="Roboto"/>
      </rPr>
      <t>Front-End:</t>
    </r>
    <r>
      <rPr>
        <sz val="10"/>
        <color rgb="FF000000"/>
        <rFont val="Roboto"/>
      </rPr>
      <t xml:space="preserve"> HTML5, CSS3, JavaScript Moderno (incluyendo librerías relevantes).
</t>
    </r>
    <r>
      <rPr>
        <b/>
        <sz val="10"/>
        <color rgb="FF4285F4"/>
        <rFont val="Roboto"/>
      </rPr>
      <t xml:space="preserve">Back-End: </t>
    </r>
    <r>
      <rPr>
        <sz val="10"/>
        <color rgb="FF000000"/>
        <rFont val="Roboto"/>
      </rPr>
      <t xml:space="preserve">JavaScript (para lógica y manejo de datos con INDEX BD).
</t>
    </r>
    <r>
      <rPr>
        <b/>
        <sz val="10"/>
        <color rgb="FFEA4335"/>
        <rFont val="Roboto"/>
      </rPr>
      <t>Notas Adicionales:</t>
    </r>
    <r>
      <rPr>
        <sz val="10"/>
        <color rgb="FF000000"/>
        <rFont val="Roboto"/>
      </rPr>
      <t xml:space="preserve">
Los tiempos estimados no incluyen pausas por prioridad, horarios de capacitaciones, reuniones de seguimiento o de cualquier otro tipo y/o eventos no controlados por el desarrollador, tales como reprocesos por información del cliente y ajustes solicitados, entre otros.
</t>
    </r>
    <r>
      <rPr>
        <i/>
        <sz val="10"/>
        <color rgb="FF000000"/>
        <rFont val="Roboto"/>
      </rPr>
      <t>Estimación realizada para un DESARROLLADOR: responsable Julio Cesar Calderón</t>
    </r>
    <r>
      <rPr>
        <sz val="10"/>
        <color rgb="FF000000"/>
        <rFont val="Roboto"/>
      </rPr>
      <t xml:space="preserve">
La anterior estimación se desarrolló por </t>
    </r>
    <r>
      <rPr>
        <b/>
        <i/>
        <sz val="10"/>
        <color rgb="FF000000"/>
        <rFont val="Roboto"/>
      </rPr>
      <t>Julio Cesar Calderón Garcia, de el día 30 de septiembre al  02 de octubre  del 2024.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</si>
</sst>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0"/>
      <color rgb="FF000000"/>
      <name val="Arial"/>
      <scheme val="minor"/>
    </font>
    <font>
      <sz val="10"/>
      <color theme="1"/>
      <name val="Roboto"/>
    </font>
    <font>
      <sz val="10"/>
      <name val="Arial"/>
    </font>
    <font>
      <b/>
      <sz val="10"/>
      <color rgb="FF351C75"/>
      <name val="Roboto"/>
    </font>
    <font>
      <sz val="10"/>
      <color rgb="FF000000"/>
      <name val="Roboto"/>
    </font>
    <font>
      <i/>
      <sz val="12"/>
      <color theme="1"/>
      <name val="Roboto"/>
    </font>
    <font>
      <b/>
      <sz val="10"/>
      <color rgb="FFFFFFFF"/>
      <name val="Roboto"/>
    </font>
    <font>
      <b/>
      <i/>
      <sz val="12"/>
      <color theme="1"/>
      <name val="Roboto"/>
    </font>
    <font>
      <b/>
      <sz val="10"/>
      <color rgb="FF000000"/>
      <name val="Roboto"/>
    </font>
    <font>
      <b/>
      <sz val="10"/>
      <color rgb="FF7F6000"/>
      <name val="Roboto"/>
    </font>
    <font>
      <b/>
      <sz val="12"/>
      <color rgb="FF34A853"/>
      <name val="Roboto"/>
    </font>
    <font>
      <b/>
      <sz val="12"/>
      <color theme="7"/>
      <name val="Roboto"/>
    </font>
    <font>
      <b/>
      <sz val="12"/>
      <color rgb="FFCC0000"/>
      <name val="Roboto"/>
    </font>
    <font>
      <b/>
      <sz val="12"/>
      <color rgb="FF7F6000"/>
      <name val="Roboto"/>
    </font>
    <font>
      <b/>
      <sz val="12"/>
      <color rgb="FF222222"/>
      <name val="Roboto"/>
    </font>
    <font>
      <b/>
      <sz val="10"/>
      <color rgb="FF111827"/>
      <name val="Roboto"/>
    </font>
    <font>
      <b/>
      <sz val="10"/>
      <color rgb="FF1F2937"/>
      <name val="Roboto"/>
    </font>
    <font>
      <sz val="10"/>
      <color theme="1"/>
      <name val="Roboto"/>
    </font>
    <font>
      <sz val="10"/>
      <color rgb="FF222222"/>
      <name val="Roboto"/>
    </font>
    <font>
      <b/>
      <sz val="10"/>
      <color theme="1"/>
      <name val="Roboto"/>
    </font>
    <font>
      <b/>
      <sz val="10"/>
      <color rgb="FF34A853"/>
      <name val="Roboto"/>
    </font>
    <font>
      <b/>
      <sz val="10"/>
      <color theme="5"/>
      <name val="Roboto"/>
    </font>
    <font>
      <b/>
      <sz val="10"/>
      <color theme="7"/>
      <name val="Roboto"/>
    </font>
    <font>
      <b/>
      <sz val="12"/>
      <color theme="1"/>
      <name val="Roboto"/>
    </font>
    <font>
      <sz val="10"/>
      <color rgb="FF1F2937"/>
      <name val="Roboto"/>
    </font>
    <font>
      <b/>
      <sz val="10"/>
      <color rgb="FFFFFFFF"/>
      <name val="Roboto"/>
    </font>
    <font>
      <sz val="10"/>
      <color rgb="FF4285F4"/>
      <name val="Roboto"/>
    </font>
    <font>
      <b/>
      <sz val="10"/>
      <color rgb="FFFBBC04"/>
      <name val="Roboto"/>
    </font>
    <font>
      <b/>
      <sz val="10"/>
      <color rgb="FFEA4335"/>
      <name val="Roboto"/>
    </font>
    <font>
      <i/>
      <sz val="10"/>
      <color rgb="FF000000"/>
      <name val="Roboto"/>
    </font>
    <font>
      <b/>
      <i/>
      <sz val="10"/>
      <color rgb="FF000000"/>
      <name val="Roboto"/>
    </font>
    <font>
      <sz val="10"/>
      <color rgb="FFEA4335"/>
      <name val="Roboto"/>
    </font>
    <font>
      <sz val="10"/>
      <color rgb="FF34A853"/>
      <name val="Roboto"/>
    </font>
    <font>
      <sz val="10"/>
      <color theme="6"/>
      <name val="Roboto"/>
    </font>
    <font>
      <b/>
      <i/>
      <sz val="10"/>
      <name val="Roboto"/>
    </font>
    <font>
      <b/>
      <i/>
      <sz val="10"/>
      <color theme="7"/>
      <name val="Roboto"/>
    </font>
    <font>
      <b/>
      <i/>
      <sz val="10"/>
      <color theme="8"/>
      <name val="Roboto"/>
    </font>
    <font>
      <b/>
      <i/>
      <sz val="10"/>
      <color theme="1"/>
      <name val="Roboto"/>
    </font>
    <font>
      <i/>
      <sz val="10"/>
      <name val="Roboto"/>
    </font>
    <font>
      <b/>
      <sz val="10"/>
      <color theme="4"/>
      <name val="Roboto"/>
    </font>
    <font>
      <i/>
      <sz val="10"/>
      <color theme="1"/>
      <name val="Roboto"/>
    </font>
    <font>
      <i/>
      <sz val="10"/>
      <name val="Arial"/>
      <family val="2"/>
    </font>
    <font>
      <b/>
      <i/>
      <sz val="10"/>
      <color theme="4"/>
      <name val="Roboto"/>
    </font>
    <font>
      <b/>
      <sz val="10"/>
      <color rgb="FF00B050"/>
      <name val="Roboto"/>
    </font>
    <font>
      <b/>
      <i/>
      <sz val="10"/>
      <color theme="5"/>
      <name val="Roboto"/>
    </font>
    <font>
      <b/>
      <i/>
      <sz val="10"/>
      <color theme="5"/>
      <name val="Arial"/>
      <family val="2"/>
    </font>
    <font>
      <b/>
      <sz val="12"/>
      <color rgb="FFFFFFFF"/>
      <name val="Roboto"/>
    </font>
    <font>
      <b/>
      <sz val="10"/>
      <color rgb="FF4285F4"/>
      <name val="Roboto"/>
    </font>
    <font>
      <sz val="10"/>
      <color theme="7"/>
      <name val="Roboto"/>
    </font>
    <font>
      <b/>
      <sz val="10"/>
      <color rgb="FF7030A0"/>
      <name val="Roboto"/>
    </font>
    <font>
      <sz val="10"/>
      <color rgb="FF7030A0"/>
      <name val="Roboto"/>
    </font>
  </fonts>
  <fills count="22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D9D2E9"/>
        <bgColor rgb="FFD9D2E9"/>
      </patternFill>
    </fill>
    <fill>
      <patternFill patternType="solid">
        <fgColor rgb="FF111827"/>
        <bgColor rgb="FF111827"/>
      </patternFill>
    </fill>
    <fill>
      <patternFill patternType="solid">
        <fgColor rgb="FF1F2937"/>
        <bgColor rgb="FF1F2937"/>
      </patternFill>
    </fill>
    <fill>
      <patternFill patternType="solid">
        <fgColor rgb="FFD9D9D9"/>
        <bgColor rgb="FFD9D9D9"/>
      </patternFill>
    </fill>
    <fill>
      <patternFill patternType="solid">
        <fgColor rgb="FFFFF2CC"/>
        <bgColor rgb="FFFFF2CC"/>
      </patternFill>
    </fill>
    <fill>
      <patternFill patternType="solid">
        <fgColor rgb="FFB7B7B7"/>
        <bgColor rgb="FFB7B7B7"/>
      </patternFill>
    </fill>
    <fill>
      <patternFill patternType="solid">
        <fgColor rgb="FFC6EFCE"/>
        <bgColor rgb="FFC6EFCE"/>
      </patternFill>
    </fill>
    <fill>
      <patternFill patternType="solid">
        <fgColor rgb="FFCCCCCC"/>
        <bgColor rgb="FFCCCCCC"/>
      </patternFill>
    </fill>
    <fill>
      <patternFill patternType="solid">
        <fgColor rgb="FFB7E1CD"/>
        <bgColor rgb="FFB7E1CD"/>
      </patternFill>
    </fill>
    <fill>
      <patternFill patternType="solid">
        <fgColor rgb="FFF4CCCC"/>
        <bgColor rgb="FFF4CCCC"/>
      </patternFill>
    </fill>
    <fill>
      <patternFill patternType="solid">
        <fgColor rgb="FFD9E6FC"/>
        <bgColor rgb="FFD9E6FC"/>
      </patternFill>
    </fill>
    <fill>
      <patternFill patternType="solid">
        <fgColor rgb="FF39485D"/>
        <bgColor rgb="FF39485D"/>
      </patternFill>
    </fill>
    <fill>
      <patternFill patternType="solid">
        <fgColor rgb="FFD9EAD3"/>
        <bgColor rgb="FFD9EAD3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rgb="FFF9CB9C"/>
      </patternFill>
    </fill>
    <fill>
      <patternFill patternType="solid">
        <fgColor theme="8" tint="0.79998168889431442"/>
        <bgColor rgb="FFC6EFCE"/>
      </patternFill>
    </fill>
    <fill>
      <patternFill patternType="solid">
        <fgColor rgb="FFEFD9F0"/>
        <bgColor indexed="64"/>
      </patternFill>
    </fill>
    <fill>
      <patternFill patternType="solid">
        <fgColor rgb="FFC00000"/>
        <bgColor rgb="FF111827"/>
      </patternFill>
    </fill>
    <fill>
      <patternFill patternType="solid">
        <fgColor rgb="FFC00000"/>
        <bgColor indexed="64"/>
      </patternFill>
    </fill>
  </fills>
  <borders count="9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FBBC04"/>
      </left>
      <right/>
      <top style="thick">
        <color rgb="FFFBBC04"/>
      </top>
      <bottom style="thick">
        <color rgb="FFFBBC04"/>
      </bottom>
      <diagonal/>
    </border>
    <border>
      <left/>
      <right style="thin">
        <color rgb="FF000000"/>
      </right>
      <top style="thick">
        <color rgb="FFFBBC04"/>
      </top>
      <bottom style="thick">
        <color rgb="FFFBBC04"/>
      </bottom>
      <diagonal/>
    </border>
    <border>
      <left/>
      <right style="thick">
        <color rgb="FFFBBC04"/>
      </right>
      <top style="thick">
        <color rgb="FFFBBC04"/>
      </top>
      <bottom style="thick">
        <color rgb="FFFBBC0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666666"/>
      </right>
      <top/>
      <bottom/>
      <diagonal/>
    </border>
    <border>
      <left style="thin">
        <color rgb="FF666666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/>
      <bottom/>
      <diagonal/>
    </border>
    <border>
      <left style="thin">
        <color rgb="FF666666"/>
      </left>
      <right style="thin">
        <color rgb="FF666666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ck">
        <color theme="6"/>
      </right>
      <top style="medium">
        <color rgb="FF000000"/>
      </top>
      <bottom style="medium">
        <color rgb="FF000000"/>
      </bottom>
      <diagonal/>
    </border>
    <border>
      <left style="thick">
        <color theme="6"/>
      </left>
      <right/>
      <top style="medium">
        <color rgb="FF000000"/>
      </top>
      <bottom style="medium">
        <color rgb="FF000000"/>
      </bottom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6" borderId="9" xfId="0" applyFont="1" applyFill="1" applyBorder="1" applyAlignment="1">
      <alignment horizontal="center" vertical="center" wrapText="1"/>
    </xf>
    <xf numFmtId="4" fontId="9" fillId="7" borderId="10" xfId="0" applyNumberFormat="1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4" fontId="10" fillId="9" borderId="9" xfId="0" applyNumberFormat="1" applyFont="1" applyFill="1" applyBorder="1" applyAlignment="1">
      <alignment horizontal="center" vertical="center" wrapText="1"/>
    </xf>
    <xf numFmtId="4" fontId="11" fillId="11" borderId="9" xfId="0" applyNumberFormat="1" applyFont="1" applyFill="1" applyBorder="1" applyAlignment="1">
      <alignment horizontal="center" vertical="center" wrapText="1"/>
    </xf>
    <xf numFmtId="4" fontId="12" fillId="12" borderId="10" xfId="0" applyNumberFormat="1" applyFont="1" applyFill="1" applyBorder="1" applyAlignment="1">
      <alignment horizontal="center" vertical="center" wrapText="1"/>
    </xf>
    <xf numFmtId="4" fontId="13" fillId="7" borderId="10" xfId="0" applyNumberFormat="1" applyFont="1" applyFill="1" applyBorder="1" applyAlignment="1">
      <alignment horizontal="center" vertical="center" wrapText="1"/>
    </xf>
    <xf numFmtId="4" fontId="14" fillId="13" borderId="16" xfId="0" applyNumberFormat="1" applyFont="1" applyFill="1" applyBorder="1" applyAlignment="1">
      <alignment horizontal="center" vertical="center" wrapText="1"/>
    </xf>
    <xf numFmtId="0" fontId="6" fillId="14" borderId="17" xfId="0" applyFont="1" applyFill="1" applyBorder="1" applyAlignment="1">
      <alignment horizontal="center" vertical="center" wrapText="1"/>
    </xf>
    <xf numFmtId="0" fontId="6" fillId="14" borderId="18" xfId="0" applyFont="1" applyFill="1" applyBorder="1" applyAlignment="1">
      <alignment horizontal="center" vertical="center" wrapText="1"/>
    </xf>
    <xf numFmtId="0" fontId="6" fillId="14" borderId="19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0" fontId="6" fillId="14" borderId="21" xfId="0" applyFont="1" applyFill="1" applyBorder="1" applyAlignment="1">
      <alignment horizontal="center" vertical="center" wrapText="1"/>
    </xf>
    <xf numFmtId="0" fontId="6" fillId="14" borderId="22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4" fontId="6" fillId="4" borderId="25" xfId="0" applyNumberFormat="1" applyFont="1" applyFill="1" applyBorder="1" applyAlignment="1">
      <alignment horizontal="center" vertical="center" wrapText="1"/>
    </xf>
    <xf numFmtId="4" fontId="15" fillId="13" borderId="26" xfId="0" applyNumberFormat="1" applyFont="1" applyFill="1" applyBorder="1" applyAlignment="1">
      <alignment horizontal="center" vertical="center" wrapText="1"/>
    </xf>
    <xf numFmtId="4" fontId="15" fillId="13" borderId="27" xfId="0" applyNumberFormat="1" applyFont="1" applyFill="1" applyBorder="1" applyAlignment="1">
      <alignment horizontal="center" vertical="center" wrapText="1"/>
    </xf>
    <xf numFmtId="3" fontId="16" fillId="13" borderId="27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8" fillId="13" borderId="29" xfId="0" applyFont="1" applyFill="1" applyBorder="1" applyAlignment="1">
      <alignment horizontal="center" vertical="center" wrapText="1"/>
    </xf>
    <xf numFmtId="4" fontId="4" fillId="0" borderId="30" xfId="0" applyNumberFormat="1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4" fontId="20" fillId="15" borderId="9" xfId="0" applyNumberFormat="1" applyFont="1" applyFill="1" applyBorder="1" applyAlignment="1">
      <alignment horizontal="center" vertical="center" wrapText="1"/>
    </xf>
    <xf numFmtId="4" fontId="4" fillId="0" borderId="32" xfId="0" applyNumberFormat="1" applyFont="1" applyBorder="1" applyAlignment="1">
      <alignment horizontal="center" vertical="center" wrapText="1"/>
    </xf>
    <xf numFmtId="4" fontId="21" fillId="0" borderId="9" xfId="0" applyNumberFormat="1" applyFont="1" applyBorder="1" applyAlignment="1">
      <alignment horizontal="center" vertical="center" wrapText="1"/>
    </xf>
    <xf numFmtId="4" fontId="22" fillId="0" borderId="10" xfId="0" applyNumberFormat="1" applyFont="1" applyBorder="1" applyAlignment="1">
      <alignment horizontal="center" vertical="center" wrapText="1"/>
    </xf>
    <xf numFmtId="3" fontId="4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4" fontId="4" fillId="0" borderId="37" xfId="0" applyNumberFormat="1" applyFont="1" applyBorder="1" applyAlignment="1">
      <alignment horizontal="center" vertical="center" wrapText="1"/>
    </xf>
    <xf numFmtId="0" fontId="6" fillId="4" borderId="38" xfId="0" applyFont="1" applyFill="1" applyBorder="1" applyAlignment="1">
      <alignment horizontal="center" vertical="center" wrapText="1"/>
    </xf>
    <xf numFmtId="4" fontId="17" fillId="0" borderId="30" xfId="0" applyNumberFormat="1" applyFont="1" applyBorder="1" applyAlignment="1">
      <alignment horizontal="center" vertical="center" wrapText="1"/>
    </xf>
    <xf numFmtId="4" fontId="17" fillId="0" borderId="41" xfId="0" applyNumberFormat="1" applyFont="1" applyBorder="1" applyAlignment="1">
      <alignment horizontal="center" vertical="center" wrapText="1"/>
    </xf>
    <xf numFmtId="4" fontId="17" fillId="0" borderId="37" xfId="0" applyNumberFormat="1" applyFont="1" applyBorder="1" applyAlignment="1">
      <alignment horizontal="center" vertical="center" wrapText="1"/>
    </xf>
    <xf numFmtId="4" fontId="17" fillId="0" borderId="32" xfId="0" applyNumberFormat="1" applyFont="1" applyBorder="1" applyAlignment="1">
      <alignment horizontal="center" vertical="center" wrapText="1"/>
    </xf>
    <xf numFmtId="4" fontId="16" fillId="13" borderId="26" xfId="0" applyNumberFormat="1" applyFont="1" applyFill="1" applyBorder="1" applyAlignment="1">
      <alignment horizontal="center" vertical="center" wrapText="1"/>
    </xf>
    <xf numFmtId="4" fontId="16" fillId="13" borderId="27" xfId="0" applyNumberFormat="1" applyFont="1" applyFill="1" applyBorder="1" applyAlignment="1">
      <alignment horizontal="center" vertical="center" wrapText="1"/>
    </xf>
    <xf numFmtId="4" fontId="24" fillId="16" borderId="41" xfId="0" applyNumberFormat="1" applyFont="1" applyFill="1" applyBorder="1" applyAlignment="1">
      <alignment horizontal="center" vertical="center" wrapText="1"/>
    </xf>
    <xf numFmtId="4" fontId="24" fillId="16" borderId="32" xfId="0" applyNumberFormat="1" applyFont="1" applyFill="1" applyBorder="1" applyAlignment="1">
      <alignment horizontal="center" vertical="center" wrapText="1"/>
    </xf>
    <xf numFmtId="4" fontId="25" fillId="4" borderId="28" xfId="0" applyNumberFormat="1" applyFont="1" applyFill="1" applyBorder="1" applyAlignment="1">
      <alignment horizontal="center" vertical="center" wrapText="1"/>
    </xf>
    <xf numFmtId="0" fontId="1" fillId="16" borderId="47" xfId="0" applyFont="1" applyFill="1" applyBorder="1" applyAlignment="1">
      <alignment horizontal="center" vertical="center" wrapText="1"/>
    </xf>
    <xf numFmtId="4" fontId="24" fillId="16" borderId="48" xfId="0" applyNumberFormat="1" applyFont="1" applyFill="1" applyBorder="1" applyAlignment="1">
      <alignment horizontal="center" vertical="center" wrapText="1"/>
    </xf>
    <xf numFmtId="4" fontId="17" fillId="0" borderId="49" xfId="0" applyNumberFormat="1" applyFont="1" applyBorder="1" applyAlignment="1">
      <alignment horizontal="center" vertical="center" wrapText="1"/>
    </xf>
    <xf numFmtId="0" fontId="1" fillId="16" borderId="50" xfId="0" applyFont="1" applyFill="1" applyBorder="1" applyAlignment="1">
      <alignment horizontal="center" vertical="center" wrapText="1"/>
    </xf>
    <xf numFmtId="4" fontId="20" fillId="15" borderId="19" xfId="0" applyNumberFormat="1" applyFont="1" applyFill="1" applyBorder="1" applyAlignment="1">
      <alignment horizontal="center" vertical="center" wrapText="1"/>
    </xf>
    <xf numFmtId="4" fontId="24" fillId="16" borderId="51" xfId="0" applyNumberFormat="1" applyFont="1" applyFill="1" applyBorder="1" applyAlignment="1">
      <alignment horizontal="center" vertical="center" wrapText="1"/>
    </xf>
    <xf numFmtId="4" fontId="22" fillId="0" borderId="52" xfId="0" applyNumberFormat="1" applyFont="1" applyBorder="1" applyAlignment="1">
      <alignment horizontal="center" vertical="center" wrapText="1"/>
    </xf>
    <xf numFmtId="3" fontId="4" fillId="0" borderId="18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9" fontId="17" fillId="0" borderId="0" xfId="0" applyNumberFormat="1" applyFont="1" applyAlignment="1">
      <alignment horizontal="center" vertical="center" wrapText="1"/>
    </xf>
    <xf numFmtId="9" fontId="17" fillId="0" borderId="0" xfId="0" applyNumberFormat="1" applyFont="1" applyAlignment="1">
      <alignment vertical="center" wrapText="1"/>
    </xf>
    <xf numFmtId="4" fontId="24" fillId="16" borderId="55" xfId="0" applyNumberFormat="1" applyFont="1" applyFill="1" applyBorder="1" applyAlignment="1">
      <alignment horizontal="center" vertical="center" wrapText="1"/>
    </xf>
    <xf numFmtId="0" fontId="18" fillId="17" borderId="10" xfId="0" applyFont="1" applyFill="1" applyBorder="1" applyAlignment="1">
      <alignment vertical="center" wrapText="1"/>
    </xf>
    <xf numFmtId="0" fontId="18" fillId="18" borderId="10" xfId="0" applyFont="1" applyFill="1" applyBorder="1" applyAlignment="1">
      <alignment vertical="center" wrapText="1"/>
    </xf>
    <xf numFmtId="0" fontId="1" fillId="19" borderId="3" xfId="0" applyFont="1" applyFill="1" applyBorder="1" applyAlignment="1">
      <alignment vertical="center" wrapText="1"/>
    </xf>
    <xf numFmtId="0" fontId="1" fillId="19" borderId="36" xfId="0" applyFont="1" applyFill="1" applyBorder="1" applyAlignment="1">
      <alignment vertical="center" wrapText="1"/>
    </xf>
    <xf numFmtId="0" fontId="1" fillId="19" borderId="61" xfId="0" applyFont="1" applyFill="1" applyBorder="1" applyAlignment="1">
      <alignment vertical="center" wrapText="1"/>
    </xf>
    <xf numFmtId="0" fontId="1" fillId="19" borderId="70" xfId="0" applyFont="1" applyFill="1" applyBorder="1" applyAlignment="1">
      <alignment vertical="center" wrapText="1"/>
    </xf>
    <xf numFmtId="0" fontId="18" fillId="17" borderId="71" xfId="0" applyFont="1" applyFill="1" applyBorder="1" applyAlignment="1">
      <alignment vertical="center" wrapText="1"/>
    </xf>
    <xf numFmtId="4" fontId="17" fillId="0" borderId="0" xfId="0" applyNumberFormat="1" applyFont="1" applyAlignment="1">
      <alignment vertical="center" wrapText="1"/>
    </xf>
    <xf numFmtId="4" fontId="1" fillId="0" borderId="0" xfId="0" applyNumberFormat="1" applyFont="1" applyAlignment="1">
      <alignment horizontal="center" vertical="center" wrapText="1"/>
    </xf>
    <xf numFmtId="0" fontId="18" fillId="18" borderId="69" xfId="0" applyFont="1" applyFill="1" applyBorder="1" applyAlignment="1">
      <alignment vertical="center" wrapText="1"/>
    </xf>
    <xf numFmtId="0" fontId="6" fillId="4" borderId="72" xfId="0" applyFont="1" applyFill="1" applyBorder="1" applyAlignment="1">
      <alignment horizontal="center" vertical="center" wrapText="1"/>
    </xf>
    <xf numFmtId="14" fontId="19" fillId="0" borderId="3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4" fontId="19" fillId="16" borderId="31" xfId="0" applyNumberFormat="1" applyFont="1" applyFill="1" applyBorder="1" applyAlignment="1">
      <alignment horizontal="center" vertical="center" wrapText="1"/>
    </xf>
    <xf numFmtId="14" fontId="19" fillId="16" borderId="36" xfId="0" applyNumberFormat="1" applyFont="1" applyFill="1" applyBorder="1" applyAlignment="1">
      <alignment horizontal="center" vertical="center" wrapText="1"/>
    </xf>
    <xf numFmtId="0" fontId="19" fillId="16" borderId="31" xfId="0" applyFont="1" applyFill="1" applyBorder="1" applyAlignment="1">
      <alignment horizontal="center" vertical="center" wrapText="1"/>
    </xf>
    <xf numFmtId="0" fontId="18" fillId="17" borderId="74" xfId="0" applyFont="1" applyFill="1" applyBorder="1" applyAlignment="1">
      <alignment vertical="center" wrapText="1"/>
    </xf>
    <xf numFmtId="0" fontId="18" fillId="17" borderId="73" xfId="0" applyFont="1" applyFill="1" applyBorder="1" applyAlignment="1">
      <alignment vertical="center" wrapText="1"/>
    </xf>
    <xf numFmtId="4" fontId="21" fillId="0" borderId="75" xfId="0" applyNumberFormat="1" applyFont="1" applyBorder="1" applyAlignment="1">
      <alignment horizontal="center" vertical="center" wrapText="1"/>
    </xf>
    <xf numFmtId="4" fontId="17" fillId="0" borderId="76" xfId="0" applyNumberFormat="1" applyFont="1" applyBorder="1" applyAlignment="1">
      <alignment horizontal="center" vertical="center" wrapText="1"/>
    </xf>
    <xf numFmtId="4" fontId="24" fillId="16" borderId="77" xfId="0" applyNumberFormat="1" applyFont="1" applyFill="1" applyBorder="1" applyAlignment="1">
      <alignment horizontal="center" vertical="center" wrapText="1"/>
    </xf>
    <xf numFmtId="0" fontId="17" fillId="16" borderId="78" xfId="0" applyFont="1" applyFill="1" applyBorder="1" applyAlignment="1">
      <alignment horizontal="left" vertical="center" wrapText="1"/>
    </xf>
    <xf numFmtId="0" fontId="2" fillId="0" borderId="79" xfId="0" applyFont="1" applyBorder="1"/>
    <xf numFmtId="0" fontId="18" fillId="17" borderId="66" xfId="0" applyFont="1" applyFill="1" applyBorder="1" applyAlignment="1">
      <alignment vertical="center" wrapText="1"/>
    </xf>
    <xf numFmtId="4" fontId="1" fillId="0" borderId="56" xfId="0" applyNumberFormat="1" applyFont="1" applyBorder="1" applyAlignment="1">
      <alignment horizontal="center" vertical="center" wrapText="1"/>
    </xf>
    <xf numFmtId="4" fontId="24" fillId="16" borderId="80" xfId="0" applyNumberFormat="1" applyFont="1" applyFill="1" applyBorder="1" applyAlignment="1">
      <alignment horizontal="center" vertical="center" wrapText="1"/>
    </xf>
    <xf numFmtId="4" fontId="22" fillId="0" borderId="84" xfId="0" applyNumberFormat="1" applyFont="1" applyBorder="1" applyAlignment="1">
      <alignment horizontal="center" vertical="center" wrapText="1"/>
    </xf>
    <xf numFmtId="3" fontId="4" fillId="0" borderId="8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4" borderId="85" xfId="0" applyFont="1" applyFill="1" applyBorder="1" applyAlignment="1">
      <alignment horizontal="center" vertical="center" wrapText="1"/>
    </xf>
    <xf numFmtId="4" fontId="17" fillId="0" borderId="86" xfId="0" applyNumberFormat="1" applyFont="1" applyBorder="1" applyAlignment="1">
      <alignment horizontal="center" vertical="center" wrapText="1"/>
    </xf>
    <xf numFmtId="4" fontId="17" fillId="0" borderId="87" xfId="0" applyNumberFormat="1" applyFont="1" applyBorder="1" applyAlignment="1">
      <alignment horizontal="center" vertical="center" wrapText="1"/>
    </xf>
    <xf numFmtId="4" fontId="1" fillId="0" borderId="88" xfId="0" applyNumberFormat="1" applyFont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4" fontId="17" fillId="0" borderId="89" xfId="0" applyNumberFormat="1" applyFont="1" applyBorder="1" applyAlignment="1">
      <alignment horizontal="center" vertical="center" wrapText="1"/>
    </xf>
    <xf numFmtId="4" fontId="17" fillId="0" borderId="90" xfId="0" applyNumberFormat="1" applyFont="1" applyBorder="1" applyAlignment="1">
      <alignment horizontal="center" vertical="center" wrapText="1"/>
    </xf>
    <xf numFmtId="4" fontId="17" fillId="0" borderId="88" xfId="0" applyNumberFormat="1" applyFont="1" applyBorder="1" applyAlignment="1">
      <alignment horizontal="center" vertical="center" wrapText="1"/>
    </xf>
    <xf numFmtId="0" fontId="17" fillId="0" borderId="91" xfId="0" applyFont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4" fontId="46" fillId="20" borderId="94" xfId="0" applyNumberFormat="1" applyFont="1" applyFill="1" applyBorder="1" applyAlignment="1">
      <alignment horizontal="center" vertical="center" wrapText="1"/>
    </xf>
    <xf numFmtId="0" fontId="6" fillId="20" borderId="81" xfId="0" applyFont="1" applyFill="1" applyBorder="1" applyAlignment="1">
      <alignment horizontal="center" vertical="center" wrapText="1"/>
    </xf>
    <xf numFmtId="0" fontId="2" fillId="21" borderId="82" xfId="0" applyFont="1" applyFill="1" applyBorder="1"/>
    <xf numFmtId="0" fontId="19" fillId="10" borderId="93" xfId="0" applyFont="1" applyFill="1" applyBorder="1" applyAlignment="1">
      <alignment horizontal="center" vertical="center" wrapText="1"/>
    </xf>
    <xf numFmtId="0" fontId="2" fillId="0" borderId="28" xfId="0" applyFont="1" applyBorder="1"/>
    <xf numFmtId="0" fontId="19" fillId="10" borderId="6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/>
    </xf>
    <xf numFmtId="0" fontId="8" fillId="13" borderId="4" xfId="0" applyFont="1" applyFill="1" applyBorder="1" applyAlignment="1">
      <alignment horizontal="center" vertical="center" wrapText="1"/>
    </xf>
    <xf numFmtId="0" fontId="2" fillId="0" borderId="4" xfId="0" applyFont="1" applyBorder="1"/>
    <xf numFmtId="0" fontId="2" fillId="0" borderId="12" xfId="0" applyFont="1" applyBorder="1"/>
    <xf numFmtId="0" fontId="8" fillId="13" borderId="59" xfId="0" applyFont="1" applyFill="1" applyBorder="1" applyAlignment="1">
      <alignment horizontal="center" vertical="center" wrapText="1"/>
    </xf>
    <xf numFmtId="0" fontId="2" fillId="0" borderId="59" xfId="0" applyFont="1" applyBorder="1"/>
    <xf numFmtId="0" fontId="2" fillId="0" borderId="60" xfId="0" applyFont="1" applyBorder="1"/>
    <xf numFmtId="0" fontId="17" fillId="16" borderId="34" xfId="0" applyFont="1" applyFill="1" applyBorder="1" applyAlignment="1">
      <alignment horizontal="left" vertical="center" wrapText="1"/>
    </xf>
    <xf numFmtId="0" fontId="2" fillId="0" borderId="35" xfId="0" applyFont="1" applyBorder="1"/>
    <xf numFmtId="0" fontId="17" fillId="16" borderId="53" xfId="0" applyFont="1" applyFill="1" applyBorder="1" applyAlignment="1">
      <alignment horizontal="left" vertical="center" wrapText="1"/>
    </xf>
    <xf numFmtId="0" fontId="2" fillId="0" borderId="54" xfId="0" applyFont="1" applyBorder="1"/>
    <xf numFmtId="0" fontId="19" fillId="10" borderId="6" xfId="0" applyFont="1" applyFill="1" applyBorder="1" applyAlignment="1">
      <alignment horizontal="left" vertical="center" wrapText="1"/>
    </xf>
    <xf numFmtId="0" fontId="17" fillId="16" borderId="42" xfId="0" applyFont="1" applyFill="1" applyBorder="1" applyAlignment="1">
      <alignment horizontal="left" vertical="center" wrapText="1"/>
    </xf>
    <xf numFmtId="0" fontId="2" fillId="0" borderId="11" xfId="0" applyFont="1" applyBorder="1"/>
    <xf numFmtId="0" fontId="44" fillId="16" borderId="42" xfId="0" applyFont="1" applyFill="1" applyBorder="1" applyAlignment="1">
      <alignment horizontal="left" vertical="center" wrapText="1"/>
    </xf>
    <xf numFmtId="0" fontId="45" fillId="0" borderId="11" xfId="0" applyFont="1" applyBorder="1"/>
    <xf numFmtId="0" fontId="15" fillId="10" borderId="6" xfId="0" applyFont="1" applyFill="1" applyBorder="1" applyAlignment="1">
      <alignment horizontal="left" vertical="center" wrapText="1"/>
    </xf>
    <xf numFmtId="0" fontId="40" fillId="0" borderId="34" xfId="0" applyFont="1" applyBorder="1" applyAlignment="1">
      <alignment horizontal="left" vertical="center" wrapText="1"/>
    </xf>
    <xf numFmtId="0" fontId="19" fillId="6" borderId="6" xfId="0" applyFont="1" applyFill="1" applyBorder="1" applyAlignment="1">
      <alignment horizontal="left" vertical="center" wrapText="1"/>
    </xf>
    <xf numFmtId="0" fontId="40" fillId="0" borderId="42" xfId="0" applyFont="1" applyBorder="1" applyAlignment="1">
      <alignment horizontal="left" vertical="center" wrapText="1"/>
    </xf>
    <xf numFmtId="0" fontId="41" fillId="0" borderId="11" xfId="0" applyFont="1" applyBorder="1"/>
    <xf numFmtId="0" fontId="1" fillId="0" borderId="42" xfId="0" applyFont="1" applyBorder="1" applyAlignment="1">
      <alignment horizontal="left" vertical="center" wrapText="1"/>
    </xf>
    <xf numFmtId="0" fontId="1" fillId="0" borderId="34" xfId="0" applyFont="1" applyBorder="1" applyAlignment="1">
      <alignment horizontal="left" vertical="center" wrapText="1"/>
    </xf>
    <xf numFmtId="0" fontId="40" fillId="16" borderId="42" xfId="0" applyFont="1" applyFill="1" applyBorder="1" applyAlignment="1">
      <alignment horizontal="left" vertical="center" wrapText="1"/>
    </xf>
    <xf numFmtId="0" fontId="1" fillId="16" borderId="42" xfId="0" applyFont="1" applyFill="1" applyBorder="1" applyAlignment="1">
      <alignment horizontal="left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15" fillId="10" borderId="7" xfId="0" applyFont="1" applyFill="1" applyBorder="1" applyAlignment="1">
      <alignment horizontal="center" vertical="center" wrapText="1"/>
    </xf>
    <xf numFmtId="0" fontId="8" fillId="13" borderId="29" xfId="0" applyFont="1" applyFill="1" applyBorder="1" applyAlignment="1">
      <alignment horizontal="center" vertical="center" wrapText="1"/>
    </xf>
    <xf numFmtId="0" fontId="2" fillId="0" borderId="29" xfId="0" applyFont="1" applyBorder="1"/>
    <xf numFmtId="0" fontId="30" fillId="0" borderId="4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17" fillId="0" borderId="34" xfId="0" applyFont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2" fillId="0" borderId="3" xfId="0" applyFont="1" applyBorder="1"/>
    <xf numFmtId="0" fontId="8" fillId="10" borderId="14" xfId="0" applyFont="1" applyFill="1" applyBorder="1" applyAlignment="1">
      <alignment horizontal="center" vertical="center" wrapText="1"/>
    </xf>
    <xf numFmtId="0" fontId="2" fillId="0" borderId="15" xfId="0" applyFont="1" applyBorder="1"/>
    <xf numFmtId="0" fontId="6" fillId="14" borderId="12" xfId="0" applyFont="1" applyFill="1" applyBorder="1" applyAlignment="1">
      <alignment horizontal="center" vertical="center" wrapText="1"/>
    </xf>
    <xf numFmtId="0" fontId="2" fillId="0" borderId="13" xfId="0" applyFont="1" applyBorder="1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/>
    <xf numFmtId="0" fontId="2" fillId="0" borderId="5" xfId="0" applyFont="1" applyBorder="1"/>
    <xf numFmtId="0" fontId="3" fillId="3" borderId="3" xfId="0" applyFont="1" applyFill="1" applyBorder="1" applyAlignment="1">
      <alignment horizontal="center" vertical="center" wrapText="1"/>
    </xf>
    <xf numFmtId="0" fontId="2" fillId="0" borderId="7" xfId="0" applyFont="1" applyBorder="1"/>
    <xf numFmtId="0" fontId="6" fillId="4" borderId="12" xfId="0" applyFont="1" applyFill="1" applyBorder="1" applyAlignment="1">
      <alignment horizontal="center" vertical="center" wrapText="1"/>
    </xf>
    <xf numFmtId="0" fontId="2" fillId="0" borderId="62" xfId="0" applyFont="1" applyBorder="1" applyAlignment="1">
      <alignment vertical="center"/>
    </xf>
    <xf numFmtId="0" fontId="6" fillId="5" borderId="8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6" fillId="5" borderId="0" xfId="0" applyFont="1" applyFill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4" fillId="0" borderId="63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0" fontId="4" fillId="0" borderId="65" xfId="0" applyFont="1" applyBorder="1" applyAlignment="1">
      <alignment horizontal="left" vertical="top" wrapText="1"/>
    </xf>
    <xf numFmtId="0" fontId="4" fillId="0" borderId="66" xfId="0" applyFont="1" applyBorder="1" applyAlignment="1">
      <alignment horizontal="left" vertical="top" wrapText="1"/>
    </xf>
    <xf numFmtId="0" fontId="4" fillId="0" borderId="67" xfId="0" applyFont="1" applyBorder="1" applyAlignment="1">
      <alignment horizontal="left" vertical="top" wrapText="1"/>
    </xf>
    <xf numFmtId="0" fontId="4" fillId="0" borderId="68" xfId="0" applyFont="1" applyBorder="1" applyAlignment="1">
      <alignment horizontal="left" vertical="top" wrapText="1"/>
    </xf>
    <xf numFmtId="0" fontId="19" fillId="10" borderId="7" xfId="0" applyFont="1" applyFill="1" applyBorder="1" applyAlignment="1">
      <alignment horizontal="center" vertical="center" wrapText="1"/>
    </xf>
    <xf numFmtId="0" fontId="8" fillId="13" borderId="39" xfId="0" applyFont="1" applyFill="1" applyBorder="1" applyAlignment="1">
      <alignment horizontal="center" vertical="center" wrapText="1"/>
    </xf>
    <xf numFmtId="0" fontId="2" fillId="0" borderId="39" xfId="0" applyFont="1" applyBorder="1"/>
    <xf numFmtId="0" fontId="2" fillId="0" borderId="43" xfId="0" applyFont="1" applyBorder="1"/>
    <xf numFmtId="0" fontId="8" fillId="13" borderId="45" xfId="0" applyFont="1" applyFill="1" applyBorder="1" applyAlignment="1">
      <alignment horizontal="center" vertical="center" wrapText="1"/>
    </xf>
    <xf numFmtId="0" fontId="2" fillId="0" borderId="45" xfId="0" applyFont="1" applyBorder="1"/>
    <xf numFmtId="0" fontId="2" fillId="0" borderId="46" xfId="0" applyFont="1" applyBorder="1"/>
    <xf numFmtId="0" fontId="8" fillId="13" borderId="58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" fillId="0" borderId="57" xfId="0" applyFont="1" applyBorder="1"/>
    <xf numFmtId="0" fontId="19" fillId="6" borderId="7" xfId="0" applyFont="1" applyFill="1" applyBorder="1" applyAlignment="1">
      <alignment horizontal="center" vertical="center" wrapText="1"/>
    </xf>
    <xf numFmtId="0" fontId="8" fillId="13" borderId="40" xfId="0" applyFont="1" applyFill="1" applyBorder="1" applyAlignment="1">
      <alignment horizontal="center" vertical="center" wrapText="1"/>
    </xf>
    <xf numFmtId="0" fontId="2" fillId="0" borderId="40" xfId="0" applyFont="1" applyBorder="1"/>
    <xf numFmtId="0" fontId="2" fillId="0" borderId="44" xfId="0" applyFont="1" applyBorder="1"/>
  </cellXfs>
  <cellStyles count="1">
    <cellStyle name="Normal" xfId="0" builtinId="0"/>
  </cellStyles>
  <dxfs count="6"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FD9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314325</xdr:rowOff>
    </xdr:from>
    <xdr:ext cx="1304925" cy="12192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1E617C05-8E47-4C3A-B55E-919851426B6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314325"/>
          <a:ext cx="1304925" cy="121920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314325</xdr:rowOff>
    </xdr:from>
    <xdr:ext cx="1304925" cy="12192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314325"/>
          <a:ext cx="1304925" cy="12192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E719E-2816-43F8-94CC-0A103EA7A076}">
  <sheetPr codeName="Hoja2">
    <outlinePr summaryBelow="0" summaryRight="0"/>
  </sheetPr>
  <dimension ref="A1:AC965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D8" sqref="D8"/>
    </sheetView>
  </sheetViews>
  <sheetFormatPr baseColWidth="10" defaultColWidth="12.5703125" defaultRowHeight="15.75" customHeight="1" outlineLevelRow="1" x14ac:dyDescent="0.2"/>
  <cols>
    <col min="1" max="1" width="4.42578125" customWidth="1"/>
    <col min="2" max="2" width="19.7109375" customWidth="1"/>
    <col min="3" max="3" width="58.42578125" customWidth="1"/>
    <col min="4" max="4" width="24.5703125" customWidth="1"/>
    <col min="5" max="5" width="18.5703125" customWidth="1"/>
    <col min="6" max="6" width="17.42578125" customWidth="1"/>
    <col min="7" max="7" width="12.5703125" customWidth="1"/>
    <col min="8" max="8" width="16.7109375" customWidth="1"/>
    <col min="9" max="9" width="14.140625" customWidth="1"/>
    <col min="10" max="10" width="11.28515625" customWidth="1"/>
    <col min="11" max="11" width="23.28515625" customWidth="1"/>
    <col min="12" max="12" width="43.7109375" customWidth="1"/>
  </cols>
  <sheetData>
    <row r="1" spans="1:29" ht="50.25" customHeight="1" thickBot="1" x14ac:dyDescent="0.25">
      <c r="A1" s="141"/>
      <c r="B1" s="142"/>
      <c r="C1" s="144" t="s">
        <v>0</v>
      </c>
      <c r="D1" s="136"/>
      <c r="E1" s="152" t="s">
        <v>98</v>
      </c>
      <c r="F1" s="153"/>
      <c r="G1" s="153"/>
      <c r="H1" s="153"/>
      <c r="I1" s="153"/>
      <c r="J1" s="153"/>
      <c r="K1" s="153"/>
      <c r="L1" s="154"/>
      <c r="M1" s="1"/>
      <c r="N1" s="1"/>
      <c r="O1" s="1"/>
      <c r="P1" s="1"/>
      <c r="Q1" s="1"/>
      <c r="R1" s="1"/>
      <c r="S1" s="1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" customHeight="1" thickBot="1" x14ac:dyDescent="0.25">
      <c r="A2" s="104"/>
      <c r="B2" s="143"/>
      <c r="C2" s="127" t="s">
        <v>2</v>
      </c>
      <c r="D2" s="145"/>
      <c r="E2" s="155"/>
      <c r="F2" s="156"/>
      <c r="G2" s="156"/>
      <c r="H2" s="156"/>
      <c r="I2" s="156"/>
      <c r="J2" s="156"/>
      <c r="K2" s="156"/>
      <c r="L2" s="157"/>
      <c r="M2" s="3"/>
      <c r="N2" s="4"/>
      <c r="O2" s="4"/>
      <c r="P2" s="4"/>
      <c r="Q2" s="4"/>
      <c r="R2" s="4"/>
      <c r="S2" s="4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20.25" customHeight="1" thickBot="1" x14ac:dyDescent="0.25">
      <c r="A3" s="104"/>
      <c r="B3" s="143"/>
      <c r="C3" s="148" t="s">
        <v>3</v>
      </c>
      <c r="D3" s="149"/>
      <c r="E3" s="146" t="str">
        <f>CONCATENATE("Desarrollador: Julio Cesar Calderón responsable del " &amp;TEXT(E43,0%)&amp; "% del desarrollo y Maria Contreras apoyando el " &amp;TEXT(E44,0%)&amp;"%.")</f>
        <v>Desarrollador: Julio Cesar Calderón responsable del 62% del desarrollo y Maria Contreras apoyando el 38%.</v>
      </c>
      <c r="F3" s="147"/>
      <c r="G3" s="147"/>
      <c r="H3" s="147"/>
      <c r="I3" s="147"/>
      <c r="J3" s="147"/>
      <c r="K3" s="147"/>
      <c r="L3" s="147"/>
      <c r="M3" s="1"/>
      <c r="N3" s="1"/>
      <c r="O3" s="1"/>
      <c r="P3" s="1"/>
      <c r="Q3" s="1"/>
      <c r="R3" s="1"/>
      <c r="S3" s="1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.75" customHeight="1" thickBot="1" x14ac:dyDescent="0.25">
      <c r="A4" s="104"/>
      <c r="B4" s="143"/>
      <c r="C4" s="5" t="s">
        <v>5</v>
      </c>
      <c r="D4" s="6">
        <f>D5/8</f>
        <v>16.125</v>
      </c>
      <c r="E4" s="150" t="s">
        <v>4</v>
      </c>
      <c r="F4" s="150"/>
      <c r="G4" s="150"/>
      <c r="H4" s="150"/>
      <c r="I4" s="150"/>
      <c r="J4" s="150"/>
      <c r="K4" s="150"/>
      <c r="L4" s="151"/>
      <c r="M4" s="1"/>
      <c r="N4" s="69"/>
      <c r="O4" s="69"/>
      <c r="P4" s="69"/>
      <c r="Q4" s="69"/>
      <c r="R4" s="69"/>
      <c r="S4" s="69"/>
      <c r="T4" s="69"/>
      <c r="U4" s="69"/>
      <c r="V4" s="69"/>
      <c r="W4" s="2"/>
      <c r="X4" s="2"/>
      <c r="Y4" s="2"/>
      <c r="Z4" s="2"/>
      <c r="AA4" s="2"/>
      <c r="AB4" s="2"/>
      <c r="AC4" s="2"/>
    </row>
    <row r="5" spans="1:29" ht="24" customHeight="1" thickTop="1" thickBot="1" x14ac:dyDescent="0.25">
      <c r="A5" s="105"/>
      <c r="B5" s="140"/>
      <c r="C5" s="7" t="s">
        <v>6</v>
      </c>
      <c r="D5" s="8">
        <f>SUM(D7+D11+D13+D17+D23+D26+D30)</f>
        <v>129</v>
      </c>
      <c r="E5" s="135" t="s">
        <v>7</v>
      </c>
      <c r="F5" s="136"/>
      <c r="G5" s="9" t="e">
        <f>SUM(G7+G11+G13+G17+G23+G26)-(I7+I11+I13+I17+I23+I26)</f>
        <v>#REF!</v>
      </c>
      <c r="H5" s="10" t="e">
        <f>SUM(H7+H11+H13+H17+H23+H26)-(I7+I11+I13+I17+I23+I26)</f>
        <v>#REF!</v>
      </c>
      <c r="I5" s="11" t="e">
        <f>SUM(I7+I11+I13+I17+I23+I26)-(H7+H11+H13+H17+H23+H26)</f>
        <v>#REF!</v>
      </c>
      <c r="J5" s="137" t="s">
        <v>8</v>
      </c>
      <c r="K5" s="138"/>
      <c r="L5" s="12" t="e">
        <f>(100/D5)*G5</f>
        <v>#REF!</v>
      </c>
      <c r="M5" s="4"/>
      <c r="N5" s="69"/>
      <c r="O5" s="69"/>
      <c r="P5" s="69"/>
      <c r="Q5" s="69"/>
      <c r="R5" s="69"/>
      <c r="S5" s="69"/>
      <c r="T5" s="69"/>
      <c r="U5" s="69"/>
      <c r="V5" s="69"/>
      <c r="W5" s="2"/>
      <c r="X5" s="2"/>
      <c r="Y5" s="2"/>
      <c r="Z5" s="2"/>
      <c r="AA5" s="2"/>
      <c r="AB5" s="2"/>
      <c r="AC5" s="2"/>
    </row>
    <row r="6" spans="1:29" ht="68.25" customHeight="1" thickBot="1" x14ac:dyDescent="0.25">
      <c r="A6" s="13" t="s">
        <v>9</v>
      </c>
      <c r="B6" s="13" t="s">
        <v>10</v>
      </c>
      <c r="C6" s="14" t="s">
        <v>11</v>
      </c>
      <c r="D6" s="15" t="s">
        <v>12</v>
      </c>
      <c r="E6" s="16" t="s">
        <v>76</v>
      </c>
      <c r="F6" s="17" t="s">
        <v>13</v>
      </c>
      <c r="G6" s="18" t="s">
        <v>14</v>
      </c>
      <c r="H6" s="13" t="s">
        <v>15</v>
      </c>
      <c r="I6" s="17" t="s">
        <v>16</v>
      </c>
      <c r="J6" s="17" t="s">
        <v>17</v>
      </c>
      <c r="K6" s="139" t="s">
        <v>18</v>
      </c>
      <c r="L6" s="140"/>
      <c r="M6" s="1"/>
      <c r="N6" s="69"/>
      <c r="O6" s="69"/>
      <c r="P6" s="69"/>
      <c r="Q6" s="69"/>
      <c r="R6" s="69"/>
      <c r="S6" s="69"/>
      <c r="T6" s="69"/>
      <c r="U6" s="69"/>
      <c r="V6" s="69"/>
      <c r="W6" s="2"/>
      <c r="X6" s="2"/>
      <c r="Y6" s="2"/>
      <c r="Z6" s="2"/>
      <c r="AA6" s="2"/>
      <c r="AB6" s="2"/>
      <c r="AC6" s="2"/>
    </row>
    <row r="7" spans="1:29" ht="24.75" customHeight="1" thickBot="1" x14ac:dyDescent="0.25">
      <c r="A7" s="127" t="s">
        <v>19</v>
      </c>
      <c r="B7" s="128"/>
      <c r="C7" s="19" t="s">
        <v>20</v>
      </c>
      <c r="D7" s="20">
        <f>SUM(D8:D10)</f>
        <v>11.5</v>
      </c>
      <c r="E7" s="129"/>
      <c r="F7" s="128"/>
      <c r="G7" s="21">
        <f>SUM(G8:G10)</f>
        <v>0</v>
      </c>
      <c r="H7" s="22">
        <f>SUM(H8:H10)</f>
        <v>0</v>
      </c>
      <c r="I7" s="22">
        <f>SUM(I8:I10)</f>
        <v>0</v>
      </c>
      <c r="J7" s="23">
        <f>(100/D7)*((G7+I7)-H7)</f>
        <v>0</v>
      </c>
      <c r="K7" s="118"/>
      <c r="L7" s="100"/>
      <c r="M7" s="4"/>
      <c r="N7" s="69"/>
      <c r="O7" s="69"/>
      <c r="P7" s="69"/>
      <c r="Q7" s="69"/>
      <c r="R7" s="69"/>
      <c r="S7" s="69"/>
      <c r="T7" s="69"/>
      <c r="U7" s="69"/>
      <c r="V7" s="69"/>
      <c r="W7" s="24"/>
      <c r="X7" s="24"/>
      <c r="Y7" s="24"/>
      <c r="Z7" s="24"/>
      <c r="AA7" s="24"/>
      <c r="AB7" s="24"/>
      <c r="AC7" s="24"/>
    </row>
    <row r="8" spans="1:29" outlineLevel="1" x14ac:dyDescent="0.2">
      <c r="A8" s="130">
        <v>1</v>
      </c>
      <c r="B8" s="130" t="s">
        <v>21</v>
      </c>
      <c r="C8" s="58" t="s">
        <v>22</v>
      </c>
      <c r="D8" s="26">
        <v>3</v>
      </c>
      <c r="E8" s="27"/>
      <c r="F8" s="28" t="s">
        <v>26</v>
      </c>
      <c r="G8" s="29">
        <v>0</v>
      </c>
      <c r="H8" s="30">
        <f>IF(G8&lt;D8,0,G8-D8)</f>
        <v>0</v>
      </c>
      <c r="I8" s="31">
        <f>IF(AND(G8&lt;D8,F8="Listo"),D8-G8,0)</f>
        <v>0</v>
      </c>
      <c r="J8" s="32">
        <f t="shared" ref="J8:J10" si="0">IF(F8="Listo",100,(100/D8)*(G8-H8))</f>
        <v>0</v>
      </c>
      <c r="K8" s="134"/>
      <c r="L8" s="110"/>
      <c r="M8" s="33"/>
      <c r="N8" s="69"/>
      <c r="O8" s="69"/>
      <c r="P8" s="69"/>
      <c r="Q8" s="69"/>
      <c r="R8" s="69"/>
      <c r="S8" s="69"/>
      <c r="T8" s="69"/>
      <c r="U8" s="69"/>
      <c r="V8" s="69"/>
      <c r="W8" s="24"/>
      <c r="X8" s="24"/>
      <c r="Y8" s="24"/>
      <c r="Z8" s="24"/>
      <c r="AA8" s="24"/>
      <c r="AB8" s="24"/>
      <c r="AC8" s="24"/>
    </row>
    <row r="9" spans="1:29" ht="63.75" customHeight="1" outlineLevel="1" x14ac:dyDescent="0.2">
      <c r="A9" s="131"/>
      <c r="B9" s="131"/>
      <c r="C9" s="58" t="s">
        <v>25</v>
      </c>
      <c r="D9" s="26">
        <v>2.5</v>
      </c>
      <c r="E9" s="27"/>
      <c r="F9" s="28" t="s">
        <v>26</v>
      </c>
      <c r="G9" s="29">
        <v>0</v>
      </c>
      <c r="H9" s="30">
        <f>IF(G9&lt;D9,0,G9-D9)</f>
        <v>0</v>
      </c>
      <c r="I9" s="31">
        <f t="shared" ref="I9:I10" si="1">IF(AND(G9&lt;D9,F9="Listo"),D9-G9,0)</f>
        <v>0</v>
      </c>
      <c r="J9" s="32">
        <f t="shared" si="0"/>
        <v>0</v>
      </c>
      <c r="K9" s="123"/>
      <c r="L9" s="115"/>
      <c r="M9" s="24"/>
      <c r="N9" s="69"/>
      <c r="O9" s="69"/>
      <c r="P9" s="69"/>
      <c r="Q9" s="69"/>
      <c r="R9" s="69"/>
      <c r="S9" s="69"/>
      <c r="T9" s="69"/>
      <c r="U9" s="69"/>
      <c r="V9" s="69"/>
      <c r="W9" s="24"/>
      <c r="X9" s="24"/>
      <c r="Y9" s="24"/>
      <c r="Z9" s="24"/>
      <c r="AA9" s="24"/>
      <c r="AB9" s="24"/>
      <c r="AC9" s="24"/>
    </row>
    <row r="10" spans="1:29" ht="83.25" customHeight="1" outlineLevel="1" thickBot="1" x14ac:dyDescent="0.25">
      <c r="A10" s="131"/>
      <c r="B10" s="131"/>
      <c r="C10" s="58" t="s">
        <v>27</v>
      </c>
      <c r="D10" s="34">
        <v>6</v>
      </c>
      <c r="E10" s="27"/>
      <c r="F10" s="28" t="s">
        <v>26</v>
      </c>
      <c r="G10" s="29">
        <v>0</v>
      </c>
      <c r="H10" s="30">
        <f>IF(G10&lt;D10,0,G10-D10)</f>
        <v>0</v>
      </c>
      <c r="I10" s="31">
        <f t="shared" si="1"/>
        <v>0</v>
      </c>
      <c r="J10" s="32">
        <f t="shared" si="0"/>
        <v>0</v>
      </c>
      <c r="K10" s="132"/>
      <c r="L10" s="133"/>
      <c r="M10" s="4" t="s">
        <v>69</v>
      </c>
      <c r="N10" s="69"/>
      <c r="O10" s="69"/>
      <c r="P10" s="69"/>
      <c r="Q10" s="69"/>
      <c r="R10" s="69"/>
      <c r="S10" s="69"/>
      <c r="T10" s="69"/>
      <c r="U10" s="69"/>
      <c r="V10" s="69"/>
      <c r="W10" s="24"/>
      <c r="X10" s="24"/>
      <c r="Y10" s="24"/>
      <c r="Z10" s="24"/>
      <c r="AA10" s="24"/>
      <c r="AB10" s="24"/>
      <c r="AC10" s="24"/>
    </row>
    <row r="11" spans="1:29" ht="24.75" customHeight="1" thickBot="1" x14ac:dyDescent="0.25">
      <c r="A11" s="127" t="s">
        <v>28</v>
      </c>
      <c r="B11" s="128"/>
      <c r="C11" s="19" t="s">
        <v>29</v>
      </c>
      <c r="D11" s="20">
        <f>SUM(D12)</f>
        <v>8</v>
      </c>
      <c r="E11" s="168"/>
      <c r="F11" s="128"/>
      <c r="G11" s="21">
        <f>G12</f>
        <v>0</v>
      </c>
      <c r="H11" s="22">
        <f>SUM(H12)</f>
        <v>0</v>
      </c>
      <c r="I11" s="22">
        <f>SUM(I12:I12)</f>
        <v>0</v>
      </c>
      <c r="J11" s="23">
        <f>(100/D11)*((G11+I11)-H11)</f>
        <v>0</v>
      </c>
      <c r="K11" s="118"/>
      <c r="L11" s="100"/>
      <c r="M11" s="24"/>
      <c r="N11" s="69"/>
      <c r="O11" s="69"/>
      <c r="P11" s="69"/>
      <c r="Q11" s="69"/>
      <c r="R11" s="69"/>
      <c r="S11" s="69"/>
      <c r="T11" s="69"/>
      <c r="U11" s="69"/>
      <c r="V11" s="69"/>
      <c r="W11" s="24"/>
      <c r="X11" s="24"/>
      <c r="Y11" s="24"/>
      <c r="Z11" s="24"/>
      <c r="AA11" s="24"/>
      <c r="AB11" s="24"/>
      <c r="AC11" s="24"/>
    </row>
    <row r="12" spans="1:29" ht="39" outlineLevel="1" thickBot="1" x14ac:dyDescent="0.25">
      <c r="A12" s="25">
        <v>2</v>
      </c>
      <c r="B12" s="25" t="s">
        <v>30</v>
      </c>
      <c r="C12" s="57" t="s">
        <v>31</v>
      </c>
      <c r="D12" s="34">
        <v>8</v>
      </c>
      <c r="E12" s="68"/>
      <c r="F12" s="28" t="s">
        <v>26</v>
      </c>
      <c r="G12" s="29">
        <v>0</v>
      </c>
      <c r="H12" s="30">
        <f>IF(G12&lt;D12,0,G12-D12)</f>
        <v>0</v>
      </c>
      <c r="I12" s="31">
        <f>IF(AND(G12&lt;D12,F12="Listo"),D12-G12,0)</f>
        <v>0</v>
      </c>
      <c r="J12" s="32">
        <f>IF(F12="Listo",100,(100/D12)*(G12-H12))</f>
        <v>0</v>
      </c>
      <c r="K12" s="119"/>
      <c r="L12" s="110"/>
      <c r="M12" s="24"/>
      <c r="N12" s="69"/>
      <c r="O12" s="69"/>
      <c r="P12" s="69"/>
      <c r="Q12" s="69"/>
      <c r="R12" s="69"/>
      <c r="S12" s="69"/>
      <c r="T12" s="69"/>
      <c r="U12" s="69"/>
      <c r="V12" s="69"/>
      <c r="W12" s="24"/>
      <c r="X12" s="24"/>
      <c r="Y12" s="24"/>
      <c r="Z12" s="24"/>
      <c r="AA12" s="24"/>
      <c r="AB12" s="24"/>
      <c r="AC12" s="24"/>
    </row>
    <row r="13" spans="1:29" ht="24.75" customHeight="1" thickBot="1" x14ac:dyDescent="0.25">
      <c r="A13" s="127" t="s">
        <v>32</v>
      </c>
      <c r="B13" s="128"/>
      <c r="C13" s="35" t="s">
        <v>33</v>
      </c>
      <c r="D13" s="20">
        <f>SUM(D14:D16)</f>
        <v>32</v>
      </c>
      <c r="E13" s="168"/>
      <c r="F13" s="128"/>
      <c r="G13" s="21">
        <f>SUM(G14:G16)</f>
        <v>0</v>
      </c>
      <c r="H13" s="22">
        <f t="shared" ref="H13" si="2">SUM(H14:H16)</f>
        <v>0</v>
      </c>
      <c r="I13" s="22">
        <f>SUM(I14:I16)</f>
        <v>0</v>
      </c>
      <c r="J13" s="23">
        <f>(100/D13)*((G13+I13)-H13)</f>
        <v>0</v>
      </c>
      <c r="K13" s="120"/>
      <c r="L13" s="100"/>
      <c r="M13" s="24"/>
      <c r="N13" s="69"/>
      <c r="O13" s="69"/>
      <c r="P13" s="69"/>
      <c r="Q13" s="69"/>
      <c r="R13" s="69"/>
      <c r="S13" s="69"/>
      <c r="T13" s="69"/>
      <c r="U13" s="69"/>
      <c r="V13" s="69"/>
      <c r="W13" s="24"/>
      <c r="X13" s="24"/>
      <c r="Y13" s="24"/>
      <c r="Z13" s="24"/>
      <c r="AA13" s="24"/>
      <c r="AB13" s="24"/>
      <c r="AC13" s="24"/>
    </row>
    <row r="14" spans="1:29" ht="25.5" outlineLevel="1" x14ac:dyDescent="0.2">
      <c r="A14" s="159">
        <v>3</v>
      </c>
      <c r="B14" s="169" t="s">
        <v>34</v>
      </c>
      <c r="C14" s="58" t="s">
        <v>35</v>
      </c>
      <c r="D14" s="36">
        <v>20</v>
      </c>
      <c r="E14" s="70"/>
      <c r="F14" s="28" t="s">
        <v>26</v>
      </c>
      <c r="G14" s="37">
        <v>0</v>
      </c>
      <c r="H14" s="30">
        <f>IF(G14&lt;D14,0,G14-D14)</f>
        <v>0</v>
      </c>
      <c r="I14" s="31">
        <f t="shared" ref="I14:I16" si="3">IF(AND(G14&lt;D14,F14="Listo"),D14-G14,0)</f>
        <v>0</v>
      </c>
      <c r="J14" s="32">
        <f t="shared" ref="J14:J16" si="4">IF(F14="Listo",100,(100/D14)*(G14-H14))</f>
        <v>0</v>
      </c>
      <c r="K14" s="121"/>
      <c r="L14" s="122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5.5" outlineLevel="1" x14ac:dyDescent="0.2">
      <c r="A15" s="160"/>
      <c r="B15" s="170"/>
      <c r="C15" s="58" t="s">
        <v>36</v>
      </c>
      <c r="D15" s="38">
        <v>9</v>
      </c>
      <c r="E15" s="71"/>
      <c r="F15" s="28" t="s">
        <v>26</v>
      </c>
      <c r="G15" s="39">
        <v>0</v>
      </c>
      <c r="H15" s="30">
        <f t="shared" ref="H15:H16" si="5">IF(G15&lt;D15,0,G15-D15)</f>
        <v>0</v>
      </c>
      <c r="I15" s="31">
        <f t="shared" si="3"/>
        <v>0</v>
      </c>
      <c r="J15" s="32">
        <f t="shared" si="4"/>
        <v>0</v>
      </c>
      <c r="K15" s="123"/>
      <c r="L15" s="115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29.25" customHeight="1" outlineLevel="1" thickBot="1" x14ac:dyDescent="0.25">
      <c r="A16" s="161"/>
      <c r="B16" s="171"/>
      <c r="C16" s="57" t="s">
        <v>37</v>
      </c>
      <c r="D16" s="38">
        <v>3</v>
      </c>
      <c r="E16" s="71"/>
      <c r="F16" s="28" t="s">
        <v>26</v>
      </c>
      <c r="G16" s="39">
        <v>0</v>
      </c>
      <c r="H16" s="30">
        <f t="shared" si="5"/>
        <v>0</v>
      </c>
      <c r="I16" s="31">
        <f t="shared" si="3"/>
        <v>0</v>
      </c>
      <c r="J16" s="32">
        <f t="shared" si="4"/>
        <v>0</v>
      </c>
      <c r="K16" s="124"/>
      <c r="L16" s="110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28.5" customHeight="1" thickBot="1" x14ac:dyDescent="0.25">
      <c r="A17" s="127" t="s">
        <v>32</v>
      </c>
      <c r="B17" s="128"/>
      <c r="C17" s="19" t="s">
        <v>38</v>
      </c>
      <c r="D17" s="20">
        <f>SUM(D18:D22)</f>
        <v>41</v>
      </c>
      <c r="E17" s="158"/>
      <c r="F17" s="128"/>
      <c r="G17" s="40">
        <f>SUM(G18:G22)</f>
        <v>0</v>
      </c>
      <c r="H17" s="41">
        <f>SUM(H18:H22)</f>
        <v>0</v>
      </c>
      <c r="I17" s="41">
        <f>SUM(I18:I22)</f>
        <v>0</v>
      </c>
      <c r="J17" s="23">
        <f>(100/D17)*((G17+I17)-H17)</f>
        <v>0</v>
      </c>
      <c r="K17" s="113"/>
      <c r="L17" s="100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25.5" outlineLevel="1" x14ac:dyDescent="0.2">
      <c r="A18" s="159">
        <v>4</v>
      </c>
      <c r="B18" s="162" t="s">
        <v>39</v>
      </c>
      <c r="C18" s="57" t="s">
        <v>40</v>
      </c>
      <c r="D18" s="36">
        <v>8</v>
      </c>
      <c r="E18" s="70"/>
      <c r="F18" s="28" t="s">
        <v>26</v>
      </c>
      <c r="G18" s="42">
        <v>0</v>
      </c>
      <c r="H18" s="30">
        <f t="shared" ref="H18:H22" si="6">IF(G18&lt;D18,0,D18-G18)</f>
        <v>0</v>
      </c>
      <c r="I18" s="31">
        <f t="shared" ref="I18:I22" si="7">IF(AND(G18&lt;D18,F18="Listo"),D18-G18,0)</f>
        <v>0</v>
      </c>
      <c r="J18" s="32">
        <f t="shared" ref="J18:J22" si="8">IF(F18="Listo",100,(100/D18)*(G18-H18))</f>
        <v>0</v>
      </c>
      <c r="K18" s="125"/>
      <c r="L18" s="115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28.5" customHeight="1" outlineLevel="1" x14ac:dyDescent="0.2">
      <c r="A19" s="160"/>
      <c r="B19" s="163"/>
      <c r="C19" s="57" t="s">
        <v>41</v>
      </c>
      <c r="D19" s="38">
        <v>6</v>
      </c>
      <c r="E19" s="72"/>
      <c r="F19" s="28" t="s">
        <v>26</v>
      </c>
      <c r="G19" s="42">
        <v>0</v>
      </c>
      <c r="H19" s="30">
        <f t="shared" si="6"/>
        <v>0</v>
      </c>
      <c r="I19" s="31">
        <f t="shared" si="7"/>
        <v>0</v>
      </c>
      <c r="J19" s="32">
        <f t="shared" si="8"/>
        <v>0</v>
      </c>
      <c r="K19" s="126"/>
      <c r="L19" s="115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29.25" customHeight="1" outlineLevel="1" x14ac:dyDescent="0.2">
      <c r="A20" s="160"/>
      <c r="B20" s="163"/>
      <c r="C20" s="57" t="s">
        <v>42</v>
      </c>
      <c r="D20" s="38">
        <v>14</v>
      </c>
      <c r="E20" s="70"/>
      <c r="F20" s="28" t="s">
        <v>26</v>
      </c>
      <c r="G20" s="42">
        <v>0</v>
      </c>
      <c r="H20" s="30">
        <f t="shared" si="6"/>
        <v>0</v>
      </c>
      <c r="I20" s="31">
        <f t="shared" si="7"/>
        <v>0</v>
      </c>
      <c r="J20" s="32">
        <f t="shared" si="8"/>
        <v>0</v>
      </c>
      <c r="K20" s="116"/>
      <c r="L20" s="117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32.25" customHeight="1" outlineLevel="1" x14ac:dyDescent="0.2">
      <c r="A21" s="160"/>
      <c r="B21" s="163"/>
      <c r="C21" s="57" t="s">
        <v>43</v>
      </c>
      <c r="D21" s="38">
        <v>9</v>
      </c>
      <c r="E21" s="70"/>
      <c r="F21" s="28" t="s">
        <v>26</v>
      </c>
      <c r="G21" s="42">
        <v>0</v>
      </c>
      <c r="H21" s="30">
        <f t="shared" si="6"/>
        <v>0</v>
      </c>
      <c r="I21" s="31">
        <f t="shared" si="7"/>
        <v>0</v>
      </c>
      <c r="J21" s="32">
        <f t="shared" si="8"/>
        <v>0</v>
      </c>
      <c r="K21" s="116"/>
      <c r="L21" s="117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20.25" customHeight="1" outlineLevel="1" thickBot="1" x14ac:dyDescent="0.25">
      <c r="A22" s="161"/>
      <c r="B22" s="164"/>
      <c r="C22" s="57" t="s">
        <v>44</v>
      </c>
      <c r="D22" s="38">
        <v>4</v>
      </c>
      <c r="E22" s="70"/>
      <c r="F22" s="28" t="s">
        <v>26</v>
      </c>
      <c r="G22" s="42">
        <v>0</v>
      </c>
      <c r="H22" s="30">
        <f t="shared" si="6"/>
        <v>0</v>
      </c>
      <c r="I22" s="31">
        <f t="shared" si="7"/>
        <v>0</v>
      </c>
      <c r="J22" s="32">
        <f t="shared" si="8"/>
        <v>0</v>
      </c>
      <c r="K22" s="114"/>
      <c r="L22" s="115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24" customHeight="1" thickBot="1" x14ac:dyDescent="0.25">
      <c r="A23" s="127" t="s">
        <v>32</v>
      </c>
      <c r="B23" s="128"/>
      <c r="C23" s="19" t="s">
        <v>45</v>
      </c>
      <c r="D23" s="20">
        <f>SUM(D24:D25)</f>
        <v>15.5</v>
      </c>
      <c r="E23" s="158"/>
      <c r="F23" s="128"/>
      <c r="G23" s="40">
        <f>SUM(G25:G25)</f>
        <v>0</v>
      </c>
      <c r="H23" s="41" t="e">
        <f>SUM(H24:H25)</f>
        <v>#REF!</v>
      </c>
      <c r="I23" s="41" t="e">
        <f>SUM(I24:I25)</f>
        <v>#REF!</v>
      </c>
      <c r="J23" s="23" t="e">
        <f>(100/D23)*((G23+I23)-H23)</f>
        <v>#REF!</v>
      </c>
      <c r="K23" s="113"/>
      <c r="L23" s="100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30" customHeight="1" outlineLevel="1" x14ac:dyDescent="0.2">
      <c r="A24" s="159">
        <v>5</v>
      </c>
      <c r="B24" s="162" t="s">
        <v>46</v>
      </c>
      <c r="C24" s="58" t="s">
        <v>47</v>
      </c>
      <c r="D24" s="36">
        <v>9</v>
      </c>
      <c r="E24" s="70"/>
      <c r="F24" s="28" t="s">
        <v>26</v>
      </c>
      <c r="H24" s="30">
        <f>IF(G25&lt;D24,0,D24-G25)</f>
        <v>0</v>
      </c>
      <c r="I24" s="31">
        <f>IF(AND(G25&lt;D24,F24="Listo"),D24-G25,0)</f>
        <v>0</v>
      </c>
      <c r="J24" s="32">
        <f>IF(F24="Listo",100,(100/D24)*(G25-H24))</f>
        <v>0</v>
      </c>
      <c r="K24" s="114"/>
      <c r="L24" s="115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20.25" customHeight="1" outlineLevel="1" thickBot="1" x14ac:dyDescent="0.25">
      <c r="A25" s="160"/>
      <c r="B25" s="163"/>
      <c r="C25" s="58" t="s">
        <v>48</v>
      </c>
      <c r="D25" s="38">
        <v>6.5</v>
      </c>
      <c r="E25" s="71"/>
      <c r="F25" s="28" t="s">
        <v>26</v>
      </c>
      <c r="G25" s="42">
        <v>0</v>
      </c>
      <c r="H25" s="30" t="e">
        <f>IF(#REF!&lt;D25,0,D25-#REF!)</f>
        <v>#REF!</v>
      </c>
      <c r="I25" s="31" t="e">
        <f>IF(AND(#REF!&lt;D25,F25="Listo"),D25-#REF!,0)</f>
        <v>#REF!</v>
      </c>
      <c r="J25" s="32" t="e">
        <f>IF(F25="Listo",100,(100/D25)*(#REF!-H25))</f>
        <v>#REF!</v>
      </c>
      <c r="K25" s="109"/>
      <c r="L25" s="110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23.25" customHeight="1" thickBot="1" x14ac:dyDescent="0.25">
      <c r="A26" s="166" t="s">
        <v>49</v>
      </c>
      <c r="B26" s="128"/>
      <c r="C26" s="19" t="s">
        <v>50</v>
      </c>
      <c r="D26" s="44">
        <f>SUM(D27:D29)</f>
        <v>14</v>
      </c>
      <c r="E26" s="158"/>
      <c r="F26" s="128"/>
      <c r="G26" s="40">
        <f>SUM(G27:G29)</f>
        <v>0</v>
      </c>
      <c r="H26" s="41">
        <f>SUM(H27:H29)</f>
        <v>0</v>
      </c>
      <c r="I26" s="41">
        <f>SUM(I27:I29)</f>
        <v>0</v>
      </c>
      <c r="J26" s="23">
        <f>(100/D26)*((G26+I26)-H26)</f>
        <v>0</v>
      </c>
      <c r="K26" s="113"/>
      <c r="L26" s="100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1.75" customHeight="1" outlineLevel="1" x14ac:dyDescent="0.2">
      <c r="A27" s="159">
        <v>6</v>
      </c>
      <c r="B27" s="162" t="s">
        <v>51</v>
      </c>
      <c r="C27" s="59" t="s">
        <v>52</v>
      </c>
      <c r="D27" s="38">
        <v>4</v>
      </c>
      <c r="E27" s="45"/>
      <c r="F27" s="28" t="s">
        <v>26</v>
      </c>
      <c r="G27" s="46"/>
      <c r="H27" s="30">
        <f t="shared" ref="H27:H29" si="9">IF(G27&lt;D27,0,D27-G27)</f>
        <v>0</v>
      </c>
      <c r="I27" s="31">
        <f t="shared" ref="I27:I29" si="10">IF(AND(G27&lt;D27,F27="Listo"),D27-G27,0)</f>
        <v>0</v>
      </c>
      <c r="J27" s="32">
        <f t="shared" ref="J27:J29" si="11">IF(F27="Listo",100,(100/D27)*(G27-H27))</f>
        <v>0</v>
      </c>
      <c r="K27" s="109"/>
      <c r="L27" s="110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6.5" customHeight="1" outlineLevel="1" x14ac:dyDescent="0.2">
      <c r="A28" s="160"/>
      <c r="B28" s="163"/>
      <c r="C28" s="59" t="s">
        <v>53</v>
      </c>
      <c r="D28" s="38">
        <v>4</v>
      </c>
      <c r="E28" s="45"/>
      <c r="F28" s="28" t="s">
        <v>26</v>
      </c>
      <c r="G28" s="46"/>
      <c r="H28" s="30">
        <f t="shared" si="9"/>
        <v>0</v>
      </c>
      <c r="I28" s="31">
        <f t="shared" si="10"/>
        <v>0</v>
      </c>
      <c r="J28" s="32">
        <f t="shared" si="11"/>
        <v>0</v>
      </c>
      <c r="K28" s="109"/>
      <c r="L28" s="110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13.5" outlineLevel="1" thickBot="1" x14ac:dyDescent="0.25">
      <c r="A29" s="161"/>
      <c r="B29" s="164"/>
      <c r="C29" s="59" t="s">
        <v>54</v>
      </c>
      <c r="D29" s="47">
        <v>6</v>
      </c>
      <c r="E29" s="48"/>
      <c r="F29" s="49" t="s">
        <v>26</v>
      </c>
      <c r="G29" s="50"/>
      <c r="H29" s="30">
        <f t="shared" si="9"/>
        <v>0</v>
      </c>
      <c r="I29" s="51">
        <f t="shared" si="10"/>
        <v>0</v>
      </c>
      <c r="J29" s="52">
        <f t="shared" si="11"/>
        <v>0</v>
      </c>
      <c r="K29" s="111"/>
      <c r="L29" s="112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0.25" customHeight="1" outlineLevel="1" thickBot="1" x14ac:dyDescent="0.25">
      <c r="A30" s="166" t="s">
        <v>49</v>
      </c>
      <c r="B30" s="167"/>
      <c r="C30" s="19" t="s">
        <v>59</v>
      </c>
      <c r="D30" s="44">
        <f>SUM(D31:D33)</f>
        <v>7</v>
      </c>
      <c r="E30" s="158"/>
      <c r="F30" s="128"/>
      <c r="G30" s="40">
        <f>SUM(G31:G33)</f>
        <v>0</v>
      </c>
      <c r="H30" s="41">
        <f>SUM(H31:H33)</f>
        <v>0</v>
      </c>
      <c r="I30" s="41">
        <f>SUM(I31:I33)</f>
        <v>0</v>
      </c>
      <c r="J30" s="23">
        <f>(100/D30)*((G30+I30)-H30)</f>
        <v>0</v>
      </c>
      <c r="K30" s="113"/>
      <c r="L30" s="100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18" customHeight="1" x14ac:dyDescent="0.2">
      <c r="A31" s="103">
        <v>7</v>
      </c>
      <c r="B31" s="165" t="s">
        <v>55</v>
      </c>
      <c r="C31" s="60" t="s">
        <v>56</v>
      </c>
      <c r="D31" s="38">
        <v>5</v>
      </c>
      <c r="E31" s="45"/>
      <c r="F31" s="28" t="s">
        <v>26</v>
      </c>
      <c r="G31" s="46"/>
      <c r="H31" s="30">
        <f>IF(G31&lt;D31,0,D31-G31)</f>
        <v>0</v>
      </c>
      <c r="I31" s="31">
        <f>IF(AND(G31&lt;D31,F31="Listo"),D31-G31,0)</f>
        <v>0</v>
      </c>
      <c r="J31" s="32">
        <f>IF(F31="Listo",100,(100/D31)*(G31-H31))</f>
        <v>0</v>
      </c>
      <c r="K31" s="109"/>
      <c r="L31" s="110"/>
      <c r="M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" customHeight="1" x14ac:dyDescent="0.2">
      <c r="A32" s="104"/>
      <c r="B32" s="107"/>
      <c r="C32" s="60" t="s">
        <v>57</v>
      </c>
      <c r="D32" s="38">
        <v>1</v>
      </c>
      <c r="E32" s="45"/>
      <c r="F32" s="28" t="s">
        <v>26</v>
      </c>
      <c r="G32" s="46"/>
      <c r="H32" s="30">
        <f t="shared" ref="H32:H33" si="12">IF(G32&lt;D32,0,D32-G32)</f>
        <v>0</v>
      </c>
      <c r="I32" s="31">
        <f>IF(AND(G32&lt;D32,F32="Listo"),D32-G32,0)</f>
        <v>0</v>
      </c>
      <c r="J32" s="32">
        <f>IF(F32="Listo",100,(100/D32)*(G32-H32))</f>
        <v>0</v>
      </c>
      <c r="K32" s="109"/>
      <c r="L32" s="110"/>
      <c r="M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7.25" customHeight="1" thickBot="1" x14ac:dyDescent="0.25">
      <c r="A33" s="105"/>
      <c r="B33" s="108"/>
      <c r="C33" s="61" t="s">
        <v>58</v>
      </c>
      <c r="D33" s="47">
        <v>1</v>
      </c>
      <c r="E33" s="48"/>
      <c r="F33" s="49" t="s">
        <v>26</v>
      </c>
      <c r="G33" s="56"/>
      <c r="H33" s="75">
        <f t="shared" si="12"/>
        <v>0</v>
      </c>
      <c r="I33" s="51">
        <f>IF(AND(G33&lt;D33,F33="Listo"),D33-G33,0)</f>
        <v>0</v>
      </c>
      <c r="J33" s="52">
        <f>IF(F33="Listo",100,(100/D33)*(G33-H33))</f>
        <v>0</v>
      </c>
      <c r="K33" s="111"/>
      <c r="L33" s="112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3.5" thickBot="1" x14ac:dyDescent="0.25">
      <c r="A34" s="53"/>
      <c r="B34" s="53"/>
      <c r="C34" s="53"/>
      <c r="D34" s="94"/>
      <c r="E34" s="53"/>
      <c r="F34" s="53"/>
      <c r="G34" s="53"/>
      <c r="H34" s="53"/>
      <c r="I34" s="53"/>
      <c r="J34" s="54"/>
      <c r="K34" s="53"/>
      <c r="L34" s="53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25.5" customHeight="1" thickTop="1" thickBot="1" x14ac:dyDescent="0.25">
      <c r="A35" s="97" t="s">
        <v>88</v>
      </c>
      <c r="B35" s="98"/>
      <c r="C35" s="95" t="s">
        <v>87</v>
      </c>
      <c r="D35" s="96">
        <f>SUM(D36:D39)</f>
        <v>48</v>
      </c>
      <c r="E35" s="99"/>
      <c r="F35" s="100"/>
      <c r="G35" s="40">
        <f>SUM(G36:G39)</f>
        <v>0</v>
      </c>
      <c r="H35" s="41">
        <f>SUM(H36:H39)</f>
        <v>0</v>
      </c>
      <c r="I35" s="41">
        <f>SUM(I36:I39)</f>
        <v>0</v>
      </c>
      <c r="J35" s="23">
        <f>(100/D35)*((G35+I35)-H35)</f>
        <v>0</v>
      </c>
      <c r="K35" s="101" t="s">
        <v>97</v>
      </c>
      <c r="L35" s="102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2.75" x14ac:dyDescent="0.2">
      <c r="A36" s="103">
        <v>8</v>
      </c>
      <c r="B36" s="106" t="s">
        <v>89</v>
      </c>
      <c r="C36" s="74" t="s">
        <v>91</v>
      </c>
      <c r="D36" s="36">
        <v>12</v>
      </c>
      <c r="E36" s="45"/>
      <c r="F36" s="28" t="s">
        <v>26</v>
      </c>
      <c r="G36" s="46"/>
      <c r="H36" s="30">
        <f>IF(G36&lt;D36,0,D36-G36)</f>
        <v>0</v>
      </c>
      <c r="I36" s="31">
        <f>IF(AND(G36&lt;D36,F36="Listo"),D36-G36,0)</f>
        <v>0</v>
      </c>
      <c r="J36" s="32">
        <f>IF(F36="Listo",100,(100/D36)*(G36-H36))</f>
        <v>0</v>
      </c>
      <c r="K36" s="109"/>
      <c r="L36" s="110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2.75" x14ac:dyDescent="0.2">
      <c r="A37" s="104"/>
      <c r="B37" s="107"/>
      <c r="C37" s="73" t="s">
        <v>92</v>
      </c>
      <c r="D37" s="38">
        <v>11</v>
      </c>
      <c r="E37" s="45"/>
      <c r="F37" s="28" t="s">
        <v>26</v>
      </c>
      <c r="G37" s="82"/>
      <c r="H37" s="30">
        <f t="shared" ref="H37:H39" si="13">IF(G37&lt;D37,0,D37-G37)</f>
        <v>0</v>
      </c>
      <c r="I37" s="31">
        <f>IF(AND(G37&lt;D37,F37="Listo"),D37-G37,0)</f>
        <v>0</v>
      </c>
      <c r="J37" s="32">
        <f>IF(F37="Listo",100,(100/D37)*(G37-H37))</f>
        <v>0</v>
      </c>
      <c r="K37" s="109"/>
      <c r="L37" s="110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2.75" x14ac:dyDescent="0.2">
      <c r="A38" s="104"/>
      <c r="B38" s="107"/>
      <c r="C38" s="73" t="s">
        <v>93</v>
      </c>
      <c r="D38" s="76">
        <v>13</v>
      </c>
      <c r="E38" s="45"/>
      <c r="F38" s="28" t="s">
        <v>26</v>
      </c>
      <c r="G38" s="77"/>
      <c r="H38" s="30">
        <f t="shared" si="13"/>
        <v>0</v>
      </c>
      <c r="I38" s="31">
        <f t="shared" ref="I38:I39" si="14">IF(AND(G38&lt;D38,F38="Listo"),D38-G38,0)</f>
        <v>0</v>
      </c>
      <c r="J38" s="32">
        <f t="shared" ref="J38:J39" si="15">IF(F38="Listo",100,(100/D38)*(G38-H38))</f>
        <v>0</v>
      </c>
      <c r="K38" s="78"/>
      <c r="L38" s="79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3.5" thickBot="1" x14ac:dyDescent="0.25">
      <c r="A39" s="105"/>
      <c r="B39" s="108"/>
      <c r="C39" s="80" t="s">
        <v>94</v>
      </c>
      <c r="D39" s="81">
        <v>12</v>
      </c>
      <c r="E39" s="48"/>
      <c r="F39" s="49" t="s">
        <v>26</v>
      </c>
      <c r="G39" s="56"/>
      <c r="H39" s="75">
        <f t="shared" si="13"/>
        <v>0</v>
      </c>
      <c r="I39" s="83">
        <f t="shared" si="14"/>
        <v>0</v>
      </c>
      <c r="J39" s="84">
        <f t="shared" si="15"/>
        <v>0</v>
      </c>
      <c r="K39" s="111"/>
      <c r="L39" s="112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2.75" x14ac:dyDescent="0.2">
      <c r="A40" s="53"/>
      <c r="B40" s="53"/>
      <c r="C40" s="53"/>
      <c r="D40" s="53"/>
      <c r="E40" s="53"/>
      <c r="F40" s="53"/>
      <c r="G40" s="53"/>
      <c r="H40" s="53"/>
      <c r="I40" s="53"/>
      <c r="J40" s="54"/>
      <c r="K40" s="53"/>
      <c r="L40" s="53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5" thickBot="1" x14ac:dyDescent="0.25">
      <c r="A41" s="53"/>
      <c r="B41" s="53"/>
      <c r="C41" s="53"/>
      <c r="D41" s="53"/>
      <c r="E41" s="53"/>
      <c r="F41" s="53"/>
      <c r="G41" s="85"/>
      <c r="H41" s="85"/>
      <c r="I41" s="85"/>
      <c r="J41" s="54"/>
      <c r="K41" s="53"/>
      <c r="L41" s="53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5" thickBot="1" x14ac:dyDescent="0.25">
      <c r="A42" s="53"/>
      <c r="B42" s="53"/>
      <c r="C42" s="67" t="s">
        <v>62</v>
      </c>
      <c r="D42" s="86" t="s">
        <v>61</v>
      </c>
      <c r="E42" s="86" t="s">
        <v>60</v>
      </c>
      <c r="F42" s="53"/>
      <c r="G42" s="53"/>
      <c r="H42" s="53"/>
      <c r="I42" s="53"/>
      <c r="J42" s="54"/>
      <c r="K42" s="53"/>
      <c r="L42" s="53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2.75" x14ac:dyDescent="0.2">
      <c r="A43" s="24"/>
      <c r="B43" s="24"/>
      <c r="C43" s="63" t="s">
        <v>63</v>
      </c>
      <c r="D43" s="87" cm="1">
        <f t="array" ref="D43">SumarPorColor(D7:D33, C7:C33, C12)</f>
        <v>52</v>
      </c>
      <c r="E43" s="87">
        <f>((100/$D$5)*D43)+((100/$D$5)*($D$45/2))</f>
        <v>62.015503875968996</v>
      </c>
      <c r="F43" s="24"/>
      <c r="G43" s="24"/>
      <c r="H43" s="24"/>
      <c r="I43" s="24"/>
      <c r="J43" s="55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5" thickBot="1" x14ac:dyDescent="0.25">
      <c r="A44" s="24"/>
      <c r="B44" s="24"/>
      <c r="C44" s="62" t="s">
        <v>64</v>
      </c>
      <c r="D44" s="89" cm="1">
        <f t="array" ref="D44">SumarPorColor(D7:D33, C7:C33, C27)</f>
        <v>21</v>
      </c>
      <c r="E44" s="88">
        <f>((100/$D$5)*D44)+((100/$D$5)*($D$45/2))</f>
        <v>37.984496124031011</v>
      </c>
      <c r="F44" s="24"/>
      <c r="G44" s="24"/>
      <c r="H44" s="24"/>
      <c r="I44" s="24"/>
      <c r="J44" s="55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5" thickBot="1" x14ac:dyDescent="0.25">
      <c r="A45" s="24"/>
      <c r="B45" s="24"/>
      <c r="C45" s="66" t="s">
        <v>65</v>
      </c>
      <c r="D45" s="88" cm="1">
        <f t="array" ref="D45">SumarPorColor(D7:D33, C7:C33, C8)</f>
        <v>56</v>
      </c>
      <c r="E45" s="65"/>
      <c r="F45" s="24"/>
      <c r="G45" s="24"/>
      <c r="H45" s="24"/>
      <c r="I45" s="24"/>
      <c r="J45" s="55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5" thickBot="1" x14ac:dyDescent="0.25">
      <c r="A46" s="24"/>
      <c r="B46" s="24"/>
      <c r="C46" s="24"/>
      <c r="E46" s="64"/>
      <c r="F46" s="24"/>
      <c r="G46" s="24"/>
      <c r="H46" s="24"/>
      <c r="I46" s="24"/>
      <c r="J46" s="55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5" thickBot="1" x14ac:dyDescent="0.25">
      <c r="A47" s="24"/>
      <c r="B47" s="24"/>
      <c r="C47" s="67" t="s">
        <v>62</v>
      </c>
      <c r="D47" s="86" t="s">
        <v>90</v>
      </c>
      <c r="E47" s="90" t="s">
        <v>60</v>
      </c>
      <c r="F47" s="24"/>
      <c r="G47" s="24"/>
      <c r="H47" s="24"/>
      <c r="I47" s="24"/>
      <c r="J47" s="55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2.75" x14ac:dyDescent="0.2">
      <c r="A48" s="24"/>
      <c r="B48" s="24"/>
      <c r="C48" s="63" t="s">
        <v>63</v>
      </c>
      <c r="D48" s="87" cm="1">
        <f t="array" ref="D48">SumarPorColor($D$7:$D$39,$C$7:$C$39,$C$12)</f>
        <v>100</v>
      </c>
      <c r="E48" s="91">
        <f>((100/($D$5 + D35))*D48)+((100/($D$5 + D35))*($D$50/2))</f>
        <v>72.316384180790962</v>
      </c>
      <c r="F48" s="24"/>
      <c r="G48" s="24"/>
      <c r="H48" s="24"/>
      <c r="I48" s="24"/>
      <c r="J48" s="55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5" thickBot="1" x14ac:dyDescent="0.25">
      <c r="A49" s="24"/>
      <c r="B49" s="24"/>
      <c r="C49" s="62" t="s">
        <v>64</v>
      </c>
      <c r="D49" s="93" cm="1">
        <f t="array" ref="D49">SumarPorColor($D$7:$D$39,$C$7:$C$39,$C$27)</f>
        <v>21</v>
      </c>
      <c r="E49" s="92">
        <f>((100/($D$5 + D35))*D49)+((100/($D$5 + D35))*($D$50/2))</f>
        <v>27.683615819209038</v>
      </c>
      <c r="F49" s="24"/>
      <c r="G49" s="24"/>
      <c r="H49" s="24"/>
      <c r="I49" s="24"/>
      <c r="J49" s="55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5" thickBot="1" x14ac:dyDescent="0.25">
      <c r="A50" s="24"/>
      <c r="B50" s="24"/>
      <c r="C50" s="66" t="s">
        <v>65</v>
      </c>
      <c r="D50" s="88" cm="1">
        <f t="array" ref="D50">SumarPorColor($D$7:$D$39,$C$7:$C$39,$C$8)</f>
        <v>56</v>
      </c>
      <c r="E50" s="65"/>
      <c r="F50" s="24"/>
      <c r="G50" s="24"/>
      <c r="H50" s="24"/>
      <c r="I50" s="24"/>
      <c r="J50" s="5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2.75" x14ac:dyDescent="0.2">
      <c r="A51" s="24"/>
      <c r="B51" s="24"/>
      <c r="C51" s="24"/>
      <c r="D51" s="24"/>
      <c r="E51" s="24"/>
      <c r="F51" s="24"/>
      <c r="G51" s="24"/>
      <c r="H51" s="24"/>
      <c r="I51" s="24"/>
      <c r="J51" s="5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2.75" x14ac:dyDescent="0.2">
      <c r="A52" s="24"/>
      <c r="B52" s="24"/>
      <c r="C52" s="24"/>
      <c r="D52" s="24"/>
      <c r="E52" s="24"/>
      <c r="F52" s="24"/>
      <c r="G52" s="24"/>
      <c r="H52" s="24"/>
      <c r="I52" s="24"/>
      <c r="J52" s="5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2.75" x14ac:dyDescent="0.2">
      <c r="A53" s="24"/>
      <c r="B53" s="24"/>
      <c r="C53" s="24"/>
      <c r="D53" s="24"/>
      <c r="E53" s="24"/>
      <c r="F53" s="24"/>
      <c r="G53" s="24"/>
      <c r="H53" s="24"/>
      <c r="I53" s="24"/>
      <c r="J53" s="5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2.75" x14ac:dyDescent="0.2">
      <c r="A54" s="24"/>
      <c r="B54" s="24"/>
      <c r="C54" s="24"/>
      <c r="D54" s="24"/>
      <c r="E54" s="24"/>
      <c r="F54" s="24"/>
      <c r="G54" s="24"/>
      <c r="H54" s="24"/>
      <c r="I54" s="24"/>
      <c r="J54" s="5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2.75" x14ac:dyDescent="0.2">
      <c r="A55" s="24"/>
      <c r="B55" s="24"/>
      <c r="C55" s="24"/>
      <c r="D55" s="24"/>
      <c r="E55" s="24"/>
      <c r="F55" s="24"/>
      <c r="G55" s="24"/>
      <c r="H55" s="24"/>
      <c r="I55" s="24"/>
      <c r="J55" s="5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2.75" x14ac:dyDescent="0.2">
      <c r="A56" s="24"/>
      <c r="B56" s="24"/>
      <c r="C56" s="24"/>
      <c r="D56" s="24"/>
      <c r="E56" s="24"/>
      <c r="F56" s="24"/>
      <c r="G56" s="24"/>
      <c r="H56" s="24"/>
      <c r="I56" s="24"/>
      <c r="J56" s="5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2.75" x14ac:dyDescent="0.2">
      <c r="A57" s="24"/>
      <c r="B57" s="24"/>
      <c r="C57" s="24"/>
      <c r="D57" s="24"/>
      <c r="E57" s="24"/>
      <c r="F57" s="24"/>
      <c r="G57" s="24"/>
      <c r="H57" s="24"/>
      <c r="I57" s="24"/>
      <c r="J57" s="5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2.75" x14ac:dyDescent="0.2">
      <c r="A58" s="24"/>
      <c r="B58" s="24"/>
      <c r="C58" s="24"/>
      <c r="D58" s="24"/>
      <c r="E58" s="24"/>
      <c r="F58" s="24"/>
      <c r="G58" s="24"/>
      <c r="H58" s="24"/>
      <c r="I58" s="24"/>
      <c r="J58" s="5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2.75" x14ac:dyDescent="0.2">
      <c r="A59" s="24"/>
      <c r="B59" s="24"/>
      <c r="C59" s="24"/>
      <c r="D59" s="24"/>
      <c r="E59" s="24"/>
      <c r="F59" s="24"/>
      <c r="G59" s="24"/>
      <c r="H59" s="24"/>
      <c r="I59" s="24"/>
      <c r="J59" s="5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2.75" x14ac:dyDescent="0.2">
      <c r="A60" s="24"/>
      <c r="B60" s="24"/>
      <c r="C60" s="24"/>
      <c r="D60" s="24"/>
      <c r="E60" s="24"/>
      <c r="F60" s="24"/>
      <c r="G60" s="24"/>
      <c r="H60" s="24"/>
      <c r="I60" s="24"/>
      <c r="J60" s="5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2.75" x14ac:dyDescent="0.2">
      <c r="A61" s="24"/>
      <c r="B61" s="24"/>
      <c r="C61" s="24"/>
      <c r="D61" s="24"/>
      <c r="E61" s="24"/>
      <c r="F61" s="24"/>
      <c r="G61" s="24"/>
      <c r="H61" s="24"/>
      <c r="I61" s="24"/>
      <c r="J61" s="5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2.75" x14ac:dyDescent="0.2">
      <c r="A62" s="24"/>
      <c r="B62" s="24"/>
      <c r="C62" s="24"/>
      <c r="D62" s="24"/>
      <c r="E62" s="24"/>
      <c r="F62" s="24"/>
      <c r="G62" s="24"/>
      <c r="H62" s="24"/>
      <c r="I62" s="24"/>
      <c r="J62" s="5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2.75" x14ac:dyDescent="0.2">
      <c r="A63" s="24"/>
      <c r="B63" s="24"/>
      <c r="C63" s="24"/>
      <c r="D63" s="24"/>
      <c r="E63" s="24"/>
      <c r="F63" s="24"/>
      <c r="G63" s="24"/>
      <c r="H63" s="24"/>
      <c r="I63" s="24"/>
      <c r="J63" s="5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2.75" x14ac:dyDescent="0.2">
      <c r="A64" s="24"/>
      <c r="B64" s="24"/>
      <c r="C64" s="24"/>
      <c r="D64" s="24"/>
      <c r="E64" s="24"/>
      <c r="F64" s="24"/>
      <c r="G64" s="24"/>
      <c r="H64" s="24"/>
      <c r="I64" s="24"/>
      <c r="J64" s="5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2.75" x14ac:dyDescent="0.2">
      <c r="A65" s="24"/>
      <c r="B65" s="24"/>
      <c r="C65" s="24"/>
      <c r="D65" s="24"/>
      <c r="E65" s="24"/>
      <c r="F65" s="24"/>
      <c r="G65" s="24"/>
      <c r="H65" s="24"/>
      <c r="I65" s="24"/>
      <c r="J65" s="5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2.75" x14ac:dyDescent="0.2">
      <c r="A66" s="24"/>
      <c r="B66" s="24"/>
      <c r="C66" s="24"/>
      <c r="D66" s="24"/>
      <c r="E66" s="24"/>
      <c r="F66" s="24"/>
      <c r="G66" s="24"/>
      <c r="H66" s="24"/>
      <c r="I66" s="24"/>
      <c r="J66" s="5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2.75" x14ac:dyDescent="0.2">
      <c r="A67" s="24"/>
      <c r="B67" s="24"/>
      <c r="C67" s="24"/>
      <c r="D67" s="24"/>
      <c r="E67" s="24"/>
      <c r="F67" s="24"/>
      <c r="G67" s="24"/>
      <c r="H67" s="24"/>
      <c r="I67" s="24"/>
      <c r="J67" s="5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2.75" x14ac:dyDescent="0.2">
      <c r="A68" s="24"/>
      <c r="B68" s="24"/>
      <c r="C68" s="24"/>
      <c r="D68" s="24"/>
      <c r="E68" s="24"/>
      <c r="F68" s="24"/>
      <c r="G68" s="24"/>
      <c r="H68" s="24"/>
      <c r="I68" s="24"/>
      <c r="J68" s="5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2.75" x14ac:dyDescent="0.2">
      <c r="A69" s="24"/>
      <c r="B69" s="24"/>
      <c r="C69" s="24"/>
      <c r="D69" s="24"/>
      <c r="E69" s="24"/>
      <c r="F69" s="24"/>
      <c r="G69" s="24"/>
      <c r="H69" s="24"/>
      <c r="I69" s="24"/>
      <c r="J69" s="5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2.75" x14ac:dyDescent="0.2">
      <c r="A70" s="24"/>
      <c r="B70" s="24"/>
      <c r="C70" s="24"/>
      <c r="D70" s="24"/>
      <c r="E70" s="24"/>
      <c r="F70" s="24"/>
      <c r="G70" s="24"/>
      <c r="H70" s="24"/>
      <c r="I70" s="24"/>
      <c r="J70" s="5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2.75" x14ac:dyDescent="0.2">
      <c r="A71" s="24"/>
      <c r="B71" s="24"/>
      <c r="C71" s="24"/>
      <c r="D71" s="24"/>
      <c r="E71" s="24"/>
      <c r="F71" s="24"/>
      <c r="G71" s="24"/>
      <c r="H71" s="24"/>
      <c r="I71" s="24"/>
      <c r="J71" s="5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2.75" x14ac:dyDescent="0.2">
      <c r="A72" s="24"/>
      <c r="B72" s="24"/>
      <c r="C72" s="24"/>
      <c r="D72" s="24"/>
      <c r="E72" s="24"/>
      <c r="F72" s="24"/>
      <c r="G72" s="24"/>
      <c r="H72" s="24"/>
      <c r="I72" s="24"/>
      <c r="J72" s="5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2.75" x14ac:dyDescent="0.2">
      <c r="A73" s="24"/>
      <c r="B73" s="24"/>
      <c r="C73" s="24"/>
      <c r="D73" s="24"/>
      <c r="E73" s="24"/>
      <c r="F73" s="24"/>
      <c r="G73" s="24"/>
      <c r="H73" s="24"/>
      <c r="I73" s="24"/>
      <c r="J73" s="5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2.75" x14ac:dyDescent="0.2">
      <c r="A74" s="24"/>
      <c r="B74" s="24"/>
      <c r="C74" s="24"/>
      <c r="D74" s="24"/>
      <c r="E74" s="24"/>
      <c r="F74" s="24"/>
      <c r="G74" s="24"/>
      <c r="H74" s="24"/>
      <c r="I74" s="24"/>
      <c r="J74" s="5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2.75" x14ac:dyDescent="0.2">
      <c r="A75" s="24"/>
      <c r="B75" s="24"/>
      <c r="C75" s="24"/>
      <c r="D75" s="24"/>
      <c r="E75" s="24"/>
      <c r="F75" s="24"/>
      <c r="G75" s="24"/>
      <c r="H75" s="24"/>
      <c r="I75" s="24"/>
      <c r="J75" s="5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2.75" x14ac:dyDescent="0.2">
      <c r="A76" s="24"/>
      <c r="B76" s="24"/>
      <c r="C76" s="24"/>
      <c r="D76" s="24"/>
      <c r="E76" s="24"/>
      <c r="F76" s="24"/>
      <c r="G76" s="24"/>
      <c r="H76" s="24"/>
      <c r="I76" s="24"/>
      <c r="J76" s="5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2.75" x14ac:dyDescent="0.2">
      <c r="A77" s="24"/>
      <c r="B77" s="24"/>
      <c r="C77" s="24"/>
      <c r="D77" s="24"/>
      <c r="E77" s="24"/>
      <c r="F77" s="24"/>
      <c r="G77" s="24"/>
      <c r="H77" s="24"/>
      <c r="I77" s="24"/>
      <c r="J77" s="5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2.75" x14ac:dyDescent="0.2">
      <c r="A78" s="24"/>
      <c r="B78" s="24"/>
      <c r="C78" s="24"/>
      <c r="D78" s="24"/>
      <c r="E78" s="24"/>
      <c r="F78" s="24"/>
      <c r="G78" s="24"/>
      <c r="H78" s="24"/>
      <c r="I78" s="24"/>
      <c r="J78" s="5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2.75" x14ac:dyDescent="0.2">
      <c r="A79" s="24"/>
      <c r="B79" s="24"/>
      <c r="C79" s="24"/>
      <c r="D79" s="24"/>
      <c r="E79" s="24"/>
      <c r="F79" s="24"/>
      <c r="G79" s="24"/>
      <c r="H79" s="24"/>
      <c r="I79" s="24"/>
      <c r="J79" s="5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2.75" x14ac:dyDescent="0.2">
      <c r="A80" s="24"/>
      <c r="B80" s="24"/>
      <c r="C80" s="24"/>
      <c r="D80" s="24"/>
      <c r="E80" s="24"/>
      <c r="F80" s="24"/>
      <c r="G80" s="24"/>
      <c r="H80" s="24"/>
      <c r="I80" s="24"/>
      <c r="J80" s="5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2.75" x14ac:dyDescent="0.2">
      <c r="A81" s="24"/>
      <c r="B81" s="24"/>
      <c r="C81" s="24"/>
      <c r="D81" s="24"/>
      <c r="E81" s="24"/>
      <c r="F81" s="24"/>
      <c r="G81" s="24"/>
      <c r="H81" s="24"/>
      <c r="I81" s="24"/>
      <c r="J81" s="5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2.75" x14ac:dyDescent="0.2">
      <c r="A82" s="24"/>
      <c r="B82" s="24"/>
      <c r="C82" s="24"/>
      <c r="D82" s="24"/>
      <c r="E82" s="24"/>
      <c r="F82" s="24"/>
      <c r="G82" s="24"/>
      <c r="H82" s="24"/>
      <c r="I82" s="24"/>
      <c r="J82" s="5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2.75" x14ac:dyDescent="0.2">
      <c r="A83" s="24"/>
      <c r="B83" s="24"/>
      <c r="C83" s="24"/>
      <c r="D83" s="24"/>
      <c r="E83" s="24"/>
      <c r="F83" s="24"/>
      <c r="G83" s="24"/>
      <c r="H83" s="24"/>
      <c r="I83" s="24"/>
      <c r="J83" s="5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2.75" x14ac:dyDescent="0.2">
      <c r="A84" s="24"/>
      <c r="B84" s="24"/>
      <c r="C84" s="24"/>
      <c r="D84" s="24"/>
      <c r="E84" s="24"/>
      <c r="F84" s="24"/>
      <c r="G84" s="24"/>
      <c r="H84" s="24"/>
      <c r="I84" s="24"/>
      <c r="J84" s="5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2.75" x14ac:dyDescent="0.2">
      <c r="A85" s="24"/>
      <c r="B85" s="24"/>
      <c r="C85" s="24"/>
      <c r="D85" s="24"/>
      <c r="E85" s="24"/>
      <c r="F85" s="24"/>
      <c r="G85" s="24"/>
      <c r="H85" s="24"/>
      <c r="I85" s="24"/>
      <c r="J85" s="5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2.75" x14ac:dyDescent="0.2">
      <c r="A86" s="24"/>
      <c r="B86" s="24"/>
      <c r="C86" s="24"/>
      <c r="D86" s="24"/>
      <c r="E86" s="24"/>
      <c r="F86" s="24"/>
      <c r="G86" s="24"/>
      <c r="H86" s="24"/>
      <c r="I86" s="24"/>
      <c r="J86" s="5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2.75" x14ac:dyDescent="0.2">
      <c r="A87" s="24"/>
      <c r="B87" s="24"/>
      <c r="C87" s="24"/>
      <c r="D87" s="24"/>
      <c r="E87" s="24"/>
      <c r="F87" s="24"/>
      <c r="G87" s="24"/>
      <c r="H87" s="24"/>
      <c r="I87" s="24"/>
      <c r="J87" s="5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2.75" x14ac:dyDescent="0.2">
      <c r="A88" s="24"/>
      <c r="B88" s="24"/>
      <c r="C88" s="24"/>
      <c r="D88" s="24"/>
      <c r="E88" s="24"/>
      <c r="F88" s="24"/>
      <c r="G88" s="24"/>
      <c r="H88" s="24"/>
      <c r="I88" s="24"/>
      <c r="J88" s="5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2.75" x14ac:dyDescent="0.2">
      <c r="A89" s="24"/>
      <c r="B89" s="24"/>
      <c r="C89" s="24"/>
      <c r="D89" s="24"/>
      <c r="E89" s="24"/>
      <c r="F89" s="24"/>
      <c r="G89" s="24"/>
      <c r="H89" s="24"/>
      <c r="I89" s="24"/>
      <c r="J89" s="5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2.75" x14ac:dyDescent="0.2">
      <c r="A90" s="24"/>
      <c r="B90" s="24"/>
      <c r="C90" s="24"/>
      <c r="D90" s="24"/>
      <c r="E90" s="24"/>
      <c r="F90" s="24"/>
      <c r="G90" s="24"/>
      <c r="H90" s="24"/>
      <c r="I90" s="24"/>
      <c r="J90" s="5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2.75" x14ac:dyDescent="0.2">
      <c r="A91" s="24"/>
      <c r="B91" s="24"/>
      <c r="C91" s="24"/>
      <c r="D91" s="24"/>
      <c r="E91" s="24"/>
      <c r="F91" s="24"/>
      <c r="G91" s="24"/>
      <c r="H91" s="24"/>
      <c r="I91" s="24"/>
      <c r="J91" s="5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2.75" x14ac:dyDescent="0.2">
      <c r="A92" s="24"/>
      <c r="B92" s="24"/>
      <c r="C92" s="24"/>
      <c r="D92" s="24"/>
      <c r="E92" s="24"/>
      <c r="F92" s="24"/>
      <c r="G92" s="24"/>
      <c r="H92" s="24"/>
      <c r="I92" s="24"/>
      <c r="J92" s="5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2.75" x14ac:dyDescent="0.2">
      <c r="A93" s="24"/>
      <c r="B93" s="24"/>
      <c r="C93" s="24"/>
      <c r="D93" s="24"/>
      <c r="E93" s="24"/>
      <c r="F93" s="24"/>
      <c r="G93" s="24"/>
      <c r="H93" s="24"/>
      <c r="I93" s="24"/>
      <c r="J93" s="5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2.75" x14ac:dyDescent="0.2">
      <c r="A94" s="24"/>
      <c r="B94" s="24"/>
      <c r="C94" s="24"/>
      <c r="D94" s="24"/>
      <c r="E94" s="24"/>
      <c r="F94" s="24"/>
      <c r="G94" s="24"/>
      <c r="H94" s="24"/>
      <c r="I94" s="24"/>
      <c r="J94" s="5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2.75" x14ac:dyDescent="0.2">
      <c r="A95" s="24"/>
      <c r="B95" s="24"/>
      <c r="C95" s="24"/>
      <c r="D95" s="24"/>
      <c r="E95" s="24"/>
      <c r="F95" s="24"/>
      <c r="G95" s="24"/>
      <c r="H95" s="24"/>
      <c r="I95" s="24"/>
      <c r="J95" s="5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2.75" x14ac:dyDescent="0.2">
      <c r="A96" s="24"/>
      <c r="B96" s="24"/>
      <c r="C96" s="24"/>
      <c r="D96" s="24"/>
      <c r="E96" s="24"/>
      <c r="F96" s="24"/>
      <c r="G96" s="24"/>
      <c r="H96" s="24"/>
      <c r="I96" s="24"/>
      <c r="J96" s="5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2.75" x14ac:dyDescent="0.2">
      <c r="A97" s="24"/>
      <c r="B97" s="24"/>
      <c r="C97" s="24"/>
      <c r="D97" s="24"/>
      <c r="E97" s="24"/>
      <c r="F97" s="24"/>
      <c r="G97" s="24"/>
      <c r="H97" s="24"/>
      <c r="I97" s="24"/>
      <c r="J97" s="5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2.75" x14ac:dyDescent="0.2">
      <c r="A98" s="24"/>
      <c r="B98" s="24"/>
      <c r="C98" s="24"/>
      <c r="D98" s="24"/>
      <c r="E98" s="24"/>
      <c r="F98" s="24"/>
      <c r="G98" s="24"/>
      <c r="H98" s="24"/>
      <c r="I98" s="24"/>
      <c r="J98" s="5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2.75" x14ac:dyDescent="0.2">
      <c r="A99" s="24"/>
      <c r="B99" s="24"/>
      <c r="C99" s="24"/>
      <c r="D99" s="24"/>
      <c r="E99" s="24"/>
      <c r="F99" s="24"/>
      <c r="G99" s="24"/>
      <c r="H99" s="24"/>
      <c r="I99" s="24"/>
      <c r="J99" s="5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2.75" x14ac:dyDescent="0.2">
      <c r="A100" s="24"/>
      <c r="B100" s="24"/>
      <c r="C100" s="24"/>
      <c r="D100" s="24"/>
      <c r="E100" s="24"/>
      <c r="F100" s="24"/>
      <c r="G100" s="24"/>
      <c r="H100" s="24"/>
      <c r="I100" s="24"/>
      <c r="J100" s="5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2.7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5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2.7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5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2.7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5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2.7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5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2.7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5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2.7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5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2.7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5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2.7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5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2.7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5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2.7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5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2.7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5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2.7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5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2.7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5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2.7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5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2.7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5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2.7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5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2.7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5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.7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5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2.7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5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2.7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5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2.7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5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2.7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5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2.7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5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2.7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5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2.7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5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2.7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5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2.7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5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2.7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5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2.7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5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2.7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5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2.7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5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2.7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5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2.7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5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2.7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5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2.7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5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2.7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5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2.7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5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2.7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5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2.7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5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2.7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5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2.7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5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2.7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5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2.7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5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2.7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5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2.7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5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2.7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5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2.7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5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2.7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5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2.7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5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2.7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5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2.7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5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2.7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5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2.7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5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2.7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5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2.7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5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2.7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5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2.7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5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2.7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5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2.7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5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2.7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5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2.7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5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2.7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5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2.7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5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2.7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5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2.7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5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2.7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5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2.7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5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2.7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5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2.7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5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2.7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5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2.7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5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2.7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5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2.7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5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2.7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5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2.7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5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2.7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5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2.7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5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2.7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5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2.7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5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2.7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5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2.7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5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2.7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5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2.7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5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2.7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5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2.7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5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2.7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5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2.7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5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2.7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5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2.7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5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2.7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5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2.7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5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2.7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5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2.7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5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2.7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5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2.7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5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2.7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5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2.7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5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2.7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5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2.7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5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2.7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5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2.7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5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2.7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5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2.7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5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2.7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5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2.7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5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2.7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5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2.7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5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2.7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5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2.7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5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2.7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5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2.7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5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2.7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5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2.7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5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2.7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5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2.7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5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2.7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5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2.7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5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2.7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5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2.7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5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2.7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5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2.7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5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2.7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5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2.7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5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2.7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5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2.7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5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2.7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5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2.7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5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2.7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5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2.7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5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2.7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5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2.7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5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2.7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5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2.7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5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2.7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5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2.7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5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2.7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5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2.7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5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2.7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5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2.7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5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2.7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5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2.7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5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2.7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5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2.7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5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2.7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5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2.7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5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2.7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5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2.7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5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2.7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5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2.7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5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2.7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5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2.7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5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2.7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5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2.7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5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2.7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5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2.7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5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2.7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5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2.7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5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2.7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5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2.7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5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2.7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5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2.7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5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2.7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5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2.7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5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2.7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5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2.7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5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2.7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5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2.7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5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2.7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5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2.7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5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2.7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5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2.7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5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2.7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5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2.7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5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2.7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5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2.7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5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2.7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5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2.7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5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2.7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5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2.7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5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2.7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5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2.7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5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2.7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5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2.7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5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2.7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5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2.7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5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2.7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5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2.7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5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2.7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5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2.7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5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2.7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5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2.7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5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2.7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5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2.7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5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2.7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5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2.7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5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2.7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5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2.7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5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2.7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5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2.7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5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2.7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5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2.7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5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2.7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5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2.7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5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2.7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5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2.7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5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2.7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5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2.7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5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2.7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5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2.7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5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2.7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5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2.7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5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2.7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5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2.7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5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2.7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5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2.7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5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2.7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5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2.7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5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2.7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5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2.7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5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2.7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5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2.7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5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2.7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5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2.7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5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2.7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5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2.7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5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2.7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5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2.7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5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2.7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5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2.7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5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2.7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5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2.7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5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2.7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5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2.7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5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2.7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5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2.7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5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2.7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5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2.7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5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2.7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5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2.7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5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2.7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5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2.7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5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2.7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5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2.7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5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2.7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5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2.7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5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2.7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5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2.7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5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2.7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5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2.7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5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2.7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5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2.7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5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2.7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5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2.7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5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2.7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5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2.7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5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2.7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5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2.7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5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2.7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5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2.7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5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2.7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5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2.7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5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2.7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5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2.7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5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2.7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5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2.7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5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2.7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5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2.7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5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2.7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5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2.7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5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2.7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5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2.7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5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2.7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5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2.7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5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2.7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5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2.7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5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2.7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5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2.7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5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2.7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5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2.7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5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2.7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5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2.7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5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2.7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5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2.7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5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2.7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5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2.7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5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2.7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5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2.7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5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2.7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5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2.7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5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2.7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5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2.7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5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2.7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5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2.7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5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2.7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5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2.7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5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2.7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5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2.7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5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2.7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5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2.7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5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2.7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5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2.7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5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2.7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5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2.7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5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2.7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5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2.7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5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2.7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5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2.7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5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2.7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5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2.7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5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2.7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5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2.7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5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2.7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5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2.7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5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2.7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5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2.7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5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2.7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5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2.7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5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2.7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5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2.7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5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2.7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5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2.7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5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2.7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5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2.7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5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2.7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5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2.7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5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2.7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5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2.7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5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2.7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5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2.7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5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2.7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5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2.7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5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2.7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5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2.7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5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2.7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5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2.7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5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2.7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5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2.7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5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2.7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5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2.7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5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2.7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5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2.7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5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2.7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5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2.7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5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2.7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5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2.7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5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2.7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5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2.7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5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2.7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5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2.7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5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2.7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5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2.7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5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2.7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5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2.7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5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2.7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5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2.75" x14ac:dyDescent="0.2">
      <c r="A455" s="24"/>
      <c r="B455" s="24"/>
      <c r="C455" s="24"/>
      <c r="D455" s="24"/>
      <c r="E455" s="24"/>
      <c r="F455" s="24"/>
      <c r="G455" s="24"/>
      <c r="H455" s="24"/>
      <c r="I455" s="24"/>
      <c r="J455" s="5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2.75" x14ac:dyDescent="0.2">
      <c r="A456" s="24"/>
      <c r="B456" s="24"/>
      <c r="C456" s="24"/>
      <c r="D456" s="24"/>
      <c r="E456" s="24"/>
      <c r="F456" s="24"/>
      <c r="G456" s="24"/>
      <c r="H456" s="24"/>
      <c r="I456" s="24"/>
      <c r="J456" s="5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2.75" x14ac:dyDescent="0.2">
      <c r="A457" s="24"/>
      <c r="B457" s="24"/>
      <c r="C457" s="24"/>
      <c r="D457" s="24"/>
      <c r="E457" s="24"/>
      <c r="F457" s="24"/>
      <c r="G457" s="24"/>
      <c r="H457" s="24"/>
      <c r="I457" s="24"/>
      <c r="J457" s="5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2.75" x14ac:dyDescent="0.2">
      <c r="A458" s="24"/>
      <c r="B458" s="24"/>
      <c r="C458" s="24"/>
      <c r="D458" s="24"/>
      <c r="E458" s="24"/>
      <c r="F458" s="24"/>
      <c r="G458" s="24"/>
      <c r="H458" s="24"/>
      <c r="I458" s="24"/>
      <c r="J458" s="5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2.75" x14ac:dyDescent="0.2">
      <c r="A459" s="24"/>
      <c r="B459" s="24"/>
      <c r="C459" s="24"/>
      <c r="D459" s="24"/>
      <c r="E459" s="24"/>
      <c r="F459" s="24"/>
      <c r="G459" s="24"/>
      <c r="H459" s="24"/>
      <c r="I459" s="24"/>
      <c r="J459" s="5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2.75" x14ac:dyDescent="0.2">
      <c r="A460" s="24"/>
      <c r="B460" s="24"/>
      <c r="C460" s="24"/>
      <c r="D460" s="24"/>
      <c r="E460" s="24"/>
      <c r="F460" s="24"/>
      <c r="G460" s="24"/>
      <c r="H460" s="24"/>
      <c r="I460" s="24"/>
      <c r="J460" s="5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2.75" x14ac:dyDescent="0.2">
      <c r="A461" s="24"/>
      <c r="B461" s="24"/>
      <c r="C461" s="24"/>
      <c r="D461" s="24"/>
      <c r="E461" s="24"/>
      <c r="F461" s="24"/>
      <c r="G461" s="24"/>
      <c r="H461" s="24"/>
      <c r="I461" s="24"/>
      <c r="J461" s="5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2.75" x14ac:dyDescent="0.2">
      <c r="A462" s="24"/>
      <c r="B462" s="24"/>
      <c r="C462" s="24"/>
      <c r="D462" s="24"/>
      <c r="E462" s="24"/>
      <c r="F462" s="24"/>
      <c r="G462" s="24"/>
      <c r="H462" s="24"/>
      <c r="I462" s="24"/>
      <c r="J462" s="5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2.75" x14ac:dyDescent="0.2">
      <c r="A463" s="24"/>
      <c r="B463" s="24"/>
      <c r="C463" s="24"/>
      <c r="D463" s="24"/>
      <c r="E463" s="24"/>
      <c r="F463" s="24"/>
      <c r="G463" s="24"/>
      <c r="H463" s="24"/>
      <c r="I463" s="24"/>
      <c r="J463" s="5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2.75" x14ac:dyDescent="0.2">
      <c r="A464" s="24"/>
      <c r="B464" s="24"/>
      <c r="C464" s="24"/>
      <c r="D464" s="24"/>
      <c r="E464" s="24"/>
      <c r="F464" s="24"/>
      <c r="G464" s="24"/>
      <c r="H464" s="24"/>
      <c r="I464" s="24"/>
      <c r="J464" s="5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2.75" x14ac:dyDescent="0.2">
      <c r="A465" s="24"/>
      <c r="B465" s="24"/>
      <c r="C465" s="24"/>
      <c r="D465" s="24"/>
      <c r="E465" s="24"/>
      <c r="F465" s="24"/>
      <c r="G465" s="24"/>
      <c r="H465" s="24"/>
      <c r="I465" s="24"/>
      <c r="J465" s="5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2.75" x14ac:dyDescent="0.2">
      <c r="A466" s="24"/>
      <c r="B466" s="24"/>
      <c r="C466" s="24"/>
      <c r="D466" s="24"/>
      <c r="E466" s="24"/>
      <c r="F466" s="24"/>
      <c r="G466" s="24"/>
      <c r="H466" s="24"/>
      <c r="I466" s="24"/>
      <c r="J466" s="5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2.75" x14ac:dyDescent="0.2">
      <c r="A467" s="24"/>
      <c r="B467" s="24"/>
      <c r="C467" s="24"/>
      <c r="D467" s="24"/>
      <c r="E467" s="24"/>
      <c r="F467" s="24"/>
      <c r="G467" s="24"/>
      <c r="H467" s="24"/>
      <c r="I467" s="24"/>
      <c r="J467" s="5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2.75" x14ac:dyDescent="0.2">
      <c r="A468" s="24"/>
      <c r="B468" s="24"/>
      <c r="C468" s="24"/>
      <c r="D468" s="24"/>
      <c r="E468" s="24"/>
      <c r="F468" s="24"/>
      <c r="G468" s="24"/>
      <c r="H468" s="24"/>
      <c r="I468" s="24"/>
      <c r="J468" s="5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2.75" x14ac:dyDescent="0.2">
      <c r="A469" s="24"/>
      <c r="B469" s="24"/>
      <c r="C469" s="24"/>
      <c r="D469" s="24"/>
      <c r="E469" s="24"/>
      <c r="F469" s="24"/>
      <c r="G469" s="24"/>
      <c r="H469" s="24"/>
      <c r="I469" s="24"/>
      <c r="J469" s="5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2.75" x14ac:dyDescent="0.2">
      <c r="A470" s="24"/>
      <c r="B470" s="24"/>
      <c r="C470" s="24"/>
      <c r="D470" s="24"/>
      <c r="E470" s="24"/>
      <c r="F470" s="24"/>
      <c r="G470" s="24"/>
      <c r="H470" s="24"/>
      <c r="I470" s="24"/>
      <c r="J470" s="5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2.75" x14ac:dyDescent="0.2">
      <c r="A471" s="24"/>
      <c r="B471" s="24"/>
      <c r="C471" s="24"/>
      <c r="D471" s="24"/>
      <c r="E471" s="24"/>
      <c r="F471" s="24"/>
      <c r="G471" s="24"/>
      <c r="H471" s="24"/>
      <c r="I471" s="24"/>
      <c r="J471" s="5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2.75" x14ac:dyDescent="0.2">
      <c r="A472" s="24"/>
      <c r="B472" s="24"/>
      <c r="C472" s="24"/>
      <c r="D472" s="24"/>
      <c r="E472" s="24"/>
      <c r="F472" s="24"/>
      <c r="G472" s="24"/>
      <c r="H472" s="24"/>
      <c r="I472" s="24"/>
      <c r="J472" s="5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2.75" x14ac:dyDescent="0.2">
      <c r="A473" s="24"/>
      <c r="B473" s="24"/>
      <c r="C473" s="24"/>
      <c r="D473" s="24"/>
      <c r="E473" s="24"/>
      <c r="F473" s="24"/>
      <c r="G473" s="24"/>
      <c r="H473" s="24"/>
      <c r="I473" s="24"/>
      <c r="J473" s="5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2.75" x14ac:dyDescent="0.2">
      <c r="A474" s="24"/>
      <c r="B474" s="24"/>
      <c r="C474" s="24"/>
      <c r="D474" s="24"/>
      <c r="E474" s="24"/>
      <c r="F474" s="24"/>
      <c r="G474" s="24"/>
      <c r="H474" s="24"/>
      <c r="I474" s="24"/>
      <c r="J474" s="5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2.75" x14ac:dyDescent="0.2">
      <c r="A475" s="24"/>
      <c r="B475" s="24"/>
      <c r="C475" s="24"/>
      <c r="D475" s="24"/>
      <c r="E475" s="24"/>
      <c r="F475" s="24"/>
      <c r="G475" s="24"/>
      <c r="H475" s="24"/>
      <c r="I475" s="24"/>
      <c r="J475" s="5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2.75" x14ac:dyDescent="0.2">
      <c r="A476" s="24"/>
      <c r="B476" s="24"/>
      <c r="C476" s="24"/>
      <c r="D476" s="24"/>
      <c r="E476" s="24"/>
      <c r="F476" s="24"/>
      <c r="G476" s="24"/>
      <c r="H476" s="24"/>
      <c r="I476" s="24"/>
      <c r="J476" s="5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2.75" x14ac:dyDescent="0.2">
      <c r="A477" s="24"/>
      <c r="B477" s="24"/>
      <c r="C477" s="24"/>
      <c r="D477" s="24"/>
      <c r="E477" s="24"/>
      <c r="F477" s="24"/>
      <c r="G477" s="24"/>
      <c r="H477" s="24"/>
      <c r="I477" s="24"/>
      <c r="J477" s="5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2.75" x14ac:dyDescent="0.2">
      <c r="A478" s="24"/>
      <c r="B478" s="24"/>
      <c r="C478" s="24"/>
      <c r="D478" s="24"/>
      <c r="E478" s="24"/>
      <c r="F478" s="24"/>
      <c r="G478" s="24"/>
      <c r="H478" s="24"/>
      <c r="I478" s="24"/>
      <c r="J478" s="5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2.75" x14ac:dyDescent="0.2">
      <c r="A479" s="24"/>
      <c r="B479" s="24"/>
      <c r="C479" s="24"/>
      <c r="D479" s="24"/>
      <c r="E479" s="24"/>
      <c r="F479" s="24"/>
      <c r="G479" s="24"/>
      <c r="H479" s="24"/>
      <c r="I479" s="24"/>
      <c r="J479" s="5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2.75" x14ac:dyDescent="0.2">
      <c r="A480" s="24"/>
      <c r="B480" s="24"/>
      <c r="C480" s="24"/>
      <c r="D480" s="24"/>
      <c r="E480" s="24"/>
      <c r="F480" s="24"/>
      <c r="G480" s="24"/>
      <c r="H480" s="24"/>
      <c r="I480" s="24"/>
      <c r="J480" s="5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2.75" x14ac:dyDescent="0.2">
      <c r="A481" s="24"/>
      <c r="B481" s="24"/>
      <c r="C481" s="24"/>
      <c r="D481" s="24"/>
      <c r="E481" s="24"/>
      <c r="F481" s="24"/>
      <c r="G481" s="24"/>
      <c r="H481" s="24"/>
      <c r="I481" s="24"/>
      <c r="J481" s="5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2.75" x14ac:dyDescent="0.2">
      <c r="A482" s="24"/>
      <c r="B482" s="24"/>
      <c r="C482" s="24"/>
      <c r="D482" s="24"/>
      <c r="E482" s="24"/>
      <c r="F482" s="24"/>
      <c r="G482" s="24"/>
      <c r="H482" s="24"/>
      <c r="I482" s="24"/>
      <c r="J482" s="5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2.75" x14ac:dyDescent="0.2">
      <c r="A483" s="24"/>
      <c r="B483" s="24"/>
      <c r="C483" s="24"/>
      <c r="D483" s="24"/>
      <c r="E483" s="24"/>
      <c r="F483" s="24"/>
      <c r="G483" s="24"/>
      <c r="H483" s="24"/>
      <c r="I483" s="24"/>
      <c r="J483" s="5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2.75" x14ac:dyDescent="0.2">
      <c r="A484" s="24"/>
      <c r="B484" s="24"/>
      <c r="C484" s="24"/>
      <c r="D484" s="24"/>
      <c r="E484" s="24"/>
      <c r="F484" s="24"/>
      <c r="G484" s="24"/>
      <c r="H484" s="24"/>
      <c r="I484" s="24"/>
      <c r="J484" s="5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2.75" x14ac:dyDescent="0.2">
      <c r="A485" s="24"/>
      <c r="B485" s="24"/>
      <c r="C485" s="24"/>
      <c r="D485" s="24"/>
      <c r="E485" s="24"/>
      <c r="F485" s="24"/>
      <c r="G485" s="24"/>
      <c r="H485" s="24"/>
      <c r="I485" s="24"/>
      <c r="J485" s="5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2.75" x14ac:dyDescent="0.2">
      <c r="A486" s="24"/>
      <c r="B486" s="24"/>
      <c r="C486" s="24"/>
      <c r="D486" s="24"/>
      <c r="E486" s="24"/>
      <c r="F486" s="24"/>
      <c r="G486" s="24"/>
      <c r="H486" s="24"/>
      <c r="I486" s="24"/>
      <c r="J486" s="5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2.75" x14ac:dyDescent="0.2">
      <c r="A487" s="24"/>
      <c r="B487" s="24"/>
      <c r="C487" s="24"/>
      <c r="D487" s="24"/>
      <c r="E487" s="24"/>
      <c r="F487" s="24"/>
      <c r="G487" s="24"/>
      <c r="H487" s="24"/>
      <c r="I487" s="24"/>
      <c r="J487" s="5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2.75" x14ac:dyDescent="0.2">
      <c r="A488" s="24"/>
      <c r="B488" s="24"/>
      <c r="C488" s="24"/>
      <c r="D488" s="24"/>
      <c r="E488" s="24"/>
      <c r="F488" s="24"/>
      <c r="G488" s="24"/>
      <c r="H488" s="24"/>
      <c r="I488" s="24"/>
      <c r="J488" s="5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2.75" x14ac:dyDescent="0.2">
      <c r="A489" s="24"/>
      <c r="B489" s="24"/>
      <c r="C489" s="24"/>
      <c r="D489" s="24"/>
      <c r="E489" s="24"/>
      <c r="F489" s="24"/>
      <c r="G489" s="24"/>
      <c r="H489" s="24"/>
      <c r="I489" s="24"/>
      <c r="J489" s="5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2.75" x14ac:dyDescent="0.2">
      <c r="A490" s="24"/>
      <c r="B490" s="24"/>
      <c r="C490" s="24"/>
      <c r="D490" s="24"/>
      <c r="E490" s="24"/>
      <c r="F490" s="24"/>
      <c r="G490" s="24"/>
      <c r="H490" s="24"/>
      <c r="I490" s="24"/>
      <c r="J490" s="5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2.75" x14ac:dyDescent="0.2">
      <c r="A491" s="24"/>
      <c r="B491" s="24"/>
      <c r="C491" s="24"/>
      <c r="D491" s="24"/>
      <c r="E491" s="24"/>
      <c r="F491" s="24"/>
      <c r="G491" s="24"/>
      <c r="H491" s="24"/>
      <c r="I491" s="24"/>
      <c r="J491" s="5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2.75" x14ac:dyDescent="0.2">
      <c r="A492" s="24"/>
      <c r="B492" s="24"/>
      <c r="C492" s="24"/>
      <c r="D492" s="24"/>
      <c r="E492" s="24"/>
      <c r="F492" s="24"/>
      <c r="G492" s="24"/>
      <c r="H492" s="24"/>
      <c r="I492" s="24"/>
      <c r="J492" s="5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2.75" x14ac:dyDescent="0.2">
      <c r="A493" s="24"/>
      <c r="B493" s="24"/>
      <c r="C493" s="24"/>
      <c r="D493" s="24"/>
      <c r="E493" s="24"/>
      <c r="F493" s="24"/>
      <c r="G493" s="24"/>
      <c r="H493" s="24"/>
      <c r="I493" s="24"/>
      <c r="J493" s="5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2.75" x14ac:dyDescent="0.2">
      <c r="A494" s="24"/>
      <c r="B494" s="24"/>
      <c r="C494" s="24"/>
      <c r="D494" s="24"/>
      <c r="E494" s="24"/>
      <c r="F494" s="24"/>
      <c r="G494" s="24"/>
      <c r="H494" s="24"/>
      <c r="I494" s="24"/>
      <c r="J494" s="5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2.75" x14ac:dyDescent="0.2">
      <c r="A495" s="24"/>
      <c r="B495" s="24"/>
      <c r="C495" s="24"/>
      <c r="D495" s="24"/>
      <c r="E495" s="24"/>
      <c r="F495" s="24"/>
      <c r="G495" s="24"/>
      <c r="H495" s="24"/>
      <c r="I495" s="24"/>
      <c r="J495" s="5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2.75" x14ac:dyDescent="0.2">
      <c r="A496" s="24"/>
      <c r="B496" s="24"/>
      <c r="C496" s="24"/>
      <c r="D496" s="24"/>
      <c r="E496" s="24"/>
      <c r="F496" s="24"/>
      <c r="G496" s="24"/>
      <c r="H496" s="24"/>
      <c r="I496" s="24"/>
      <c r="J496" s="5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2.75" x14ac:dyDescent="0.2">
      <c r="A497" s="24"/>
      <c r="B497" s="24"/>
      <c r="C497" s="24"/>
      <c r="D497" s="24"/>
      <c r="E497" s="24"/>
      <c r="F497" s="24"/>
      <c r="G497" s="24"/>
      <c r="H497" s="24"/>
      <c r="I497" s="24"/>
      <c r="J497" s="5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2.75" x14ac:dyDescent="0.2">
      <c r="A498" s="24"/>
      <c r="B498" s="24"/>
      <c r="C498" s="24"/>
      <c r="D498" s="24"/>
      <c r="E498" s="24"/>
      <c r="F498" s="24"/>
      <c r="G498" s="24"/>
      <c r="H498" s="24"/>
      <c r="I498" s="24"/>
      <c r="J498" s="5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2.75" x14ac:dyDescent="0.2">
      <c r="A499" s="24"/>
      <c r="B499" s="24"/>
      <c r="C499" s="24"/>
      <c r="D499" s="24"/>
      <c r="E499" s="24"/>
      <c r="F499" s="24"/>
      <c r="G499" s="24"/>
      <c r="H499" s="24"/>
      <c r="I499" s="24"/>
      <c r="J499" s="5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2.75" x14ac:dyDescent="0.2">
      <c r="A500" s="24"/>
      <c r="B500" s="24"/>
      <c r="C500" s="24"/>
      <c r="D500" s="24"/>
      <c r="E500" s="24"/>
      <c r="F500" s="24"/>
      <c r="G500" s="24"/>
      <c r="H500" s="24"/>
      <c r="I500" s="24"/>
      <c r="J500" s="5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2.75" x14ac:dyDescent="0.2">
      <c r="A501" s="24"/>
      <c r="B501" s="24"/>
      <c r="C501" s="24"/>
      <c r="D501" s="24"/>
      <c r="E501" s="24"/>
      <c r="F501" s="24"/>
      <c r="G501" s="24"/>
      <c r="H501" s="24"/>
      <c r="I501" s="24"/>
      <c r="J501" s="5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2.75" x14ac:dyDescent="0.2">
      <c r="A502" s="24"/>
      <c r="B502" s="24"/>
      <c r="C502" s="24"/>
      <c r="D502" s="24"/>
      <c r="E502" s="24"/>
      <c r="F502" s="24"/>
      <c r="G502" s="24"/>
      <c r="H502" s="24"/>
      <c r="I502" s="24"/>
      <c r="J502" s="5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2.75" x14ac:dyDescent="0.2">
      <c r="A503" s="24"/>
      <c r="B503" s="24"/>
      <c r="C503" s="24"/>
      <c r="D503" s="24"/>
      <c r="E503" s="24"/>
      <c r="F503" s="24"/>
      <c r="G503" s="24"/>
      <c r="H503" s="24"/>
      <c r="I503" s="24"/>
      <c r="J503" s="5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2.75" x14ac:dyDescent="0.2">
      <c r="A504" s="24"/>
      <c r="B504" s="24"/>
      <c r="C504" s="24"/>
      <c r="D504" s="24"/>
      <c r="E504" s="24"/>
      <c r="F504" s="24"/>
      <c r="G504" s="24"/>
      <c r="H504" s="24"/>
      <c r="I504" s="24"/>
      <c r="J504" s="5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2.75" x14ac:dyDescent="0.2">
      <c r="A505" s="24"/>
      <c r="B505" s="24"/>
      <c r="C505" s="24"/>
      <c r="D505" s="24"/>
      <c r="E505" s="24"/>
      <c r="F505" s="24"/>
      <c r="G505" s="24"/>
      <c r="H505" s="24"/>
      <c r="I505" s="24"/>
      <c r="J505" s="5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2.75" x14ac:dyDescent="0.2">
      <c r="A506" s="24"/>
      <c r="B506" s="24"/>
      <c r="C506" s="24"/>
      <c r="D506" s="24"/>
      <c r="E506" s="24"/>
      <c r="F506" s="24"/>
      <c r="G506" s="24"/>
      <c r="H506" s="24"/>
      <c r="I506" s="24"/>
      <c r="J506" s="5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2.75" x14ac:dyDescent="0.2">
      <c r="A507" s="24"/>
      <c r="B507" s="24"/>
      <c r="C507" s="24"/>
      <c r="D507" s="24"/>
      <c r="E507" s="24"/>
      <c r="F507" s="24"/>
      <c r="G507" s="24"/>
      <c r="H507" s="24"/>
      <c r="I507" s="24"/>
      <c r="J507" s="5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2.75" x14ac:dyDescent="0.2">
      <c r="A508" s="24"/>
      <c r="B508" s="24"/>
      <c r="C508" s="24"/>
      <c r="D508" s="24"/>
      <c r="E508" s="24"/>
      <c r="F508" s="24"/>
      <c r="G508" s="24"/>
      <c r="H508" s="24"/>
      <c r="I508" s="24"/>
      <c r="J508" s="5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2.75" x14ac:dyDescent="0.2">
      <c r="A509" s="24"/>
      <c r="B509" s="24"/>
      <c r="C509" s="24"/>
      <c r="D509" s="24"/>
      <c r="E509" s="24"/>
      <c r="F509" s="24"/>
      <c r="G509" s="24"/>
      <c r="H509" s="24"/>
      <c r="I509" s="24"/>
      <c r="J509" s="5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2.75" x14ac:dyDescent="0.2">
      <c r="A510" s="24"/>
      <c r="B510" s="24"/>
      <c r="C510" s="24"/>
      <c r="D510" s="24"/>
      <c r="E510" s="24"/>
      <c r="F510" s="24"/>
      <c r="G510" s="24"/>
      <c r="H510" s="24"/>
      <c r="I510" s="24"/>
      <c r="J510" s="5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2.75" x14ac:dyDescent="0.2">
      <c r="A511" s="24"/>
      <c r="B511" s="24"/>
      <c r="C511" s="24"/>
      <c r="D511" s="24"/>
      <c r="E511" s="24"/>
      <c r="F511" s="24"/>
      <c r="G511" s="24"/>
      <c r="H511" s="24"/>
      <c r="I511" s="24"/>
      <c r="J511" s="5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2.75" x14ac:dyDescent="0.2">
      <c r="A512" s="24"/>
      <c r="B512" s="24"/>
      <c r="C512" s="24"/>
      <c r="D512" s="24"/>
      <c r="E512" s="24"/>
      <c r="F512" s="24"/>
      <c r="G512" s="24"/>
      <c r="H512" s="24"/>
      <c r="I512" s="24"/>
      <c r="J512" s="5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2.75" x14ac:dyDescent="0.2">
      <c r="A513" s="24"/>
      <c r="B513" s="24"/>
      <c r="C513" s="24"/>
      <c r="D513" s="24"/>
      <c r="E513" s="24"/>
      <c r="F513" s="24"/>
      <c r="G513" s="24"/>
      <c r="H513" s="24"/>
      <c r="I513" s="24"/>
      <c r="J513" s="5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2.75" x14ac:dyDescent="0.2">
      <c r="A514" s="24"/>
      <c r="B514" s="24"/>
      <c r="C514" s="24"/>
      <c r="D514" s="24"/>
      <c r="E514" s="24"/>
      <c r="F514" s="24"/>
      <c r="G514" s="24"/>
      <c r="H514" s="24"/>
      <c r="I514" s="24"/>
      <c r="J514" s="5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2.75" x14ac:dyDescent="0.2">
      <c r="A515" s="24"/>
      <c r="B515" s="24"/>
      <c r="C515" s="24"/>
      <c r="D515" s="24"/>
      <c r="E515" s="24"/>
      <c r="F515" s="24"/>
      <c r="G515" s="24"/>
      <c r="H515" s="24"/>
      <c r="I515" s="24"/>
      <c r="J515" s="5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2.75" x14ac:dyDescent="0.2">
      <c r="A516" s="24"/>
      <c r="B516" s="24"/>
      <c r="C516" s="24"/>
      <c r="D516" s="24"/>
      <c r="E516" s="24"/>
      <c r="F516" s="24"/>
      <c r="G516" s="24"/>
      <c r="H516" s="24"/>
      <c r="I516" s="24"/>
      <c r="J516" s="5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2.75" x14ac:dyDescent="0.2">
      <c r="A517" s="24"/>
      <c r="B517" s="24"/>
      <c r="C517" s="24"/>
      <c r="D517" s="24"/>
      <c r="E517" s="24"/>
      <c r="F517" s="24"/>
      <c r="G517" s="24"/>
      <c r="H517" s="24"/>
      <c r="I517" s="24"/>
      <c r="J517" s="5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2.75" x14ac:dyDescent="0.2">
      <c r="A518" s="24"/>
      <c r="B518" s="24"/>
      <c r="C518" s="24"/>
      <c r="D518" s="24"/>
      <c r="E518" s="24"/>
      <c r="F518" s="24"/>
      <c r="G518" s="24"/>
      <c r="H518" s="24"/>
      <c r="I518" s="24"/>
      <c r="J518" s="5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2.75" x14ac:dyDescent="0.2">
      <c r="A519" s="24"/>
      <c r="B519" s="24"/>
      <c r="C519" s="24"/>
      <c r="D519" s="24"/>
      <c r="E519" s="24"/>
      <c r="F519" s="24"/>
      <c r="G519" s="24"/>
      <c r="H519" s="24"/>
      <c r="I519" s="24"/>
      <c r="J519" s="5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2.75" x14ac:dyDescent="0.2">
      <c r="A520" s="24"/>
      <c r="B520" s="24"/>
      <c r="C520" s="24"/>
      <c r="D520" s="24"/>
      <c r="E520" s="24"/>
      <c r="F520" s="24"/>
      <c r="G520" s="24"/>
      <c r="H520" s="24"/>
      <c r="I520" s="24"/>
      <c r="J520" s="5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2.75" x14ac:dyDescent="0.2">
      <c r="A521" s="24"/>
      <c r="B521" s="24"/>
      <c r="C521" s="24"/>
      <c r="D521" s="24"/>
      <c r="E521" s="24"/>
      <c r="F521" s="24"/>
      <c r="G521" s="24"/>
      <c r="H521" s="24"/>
      <c r="I521" s="24"/>
      <c r="J521" s="5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2.75" x14ac:dyDescent="0.2">
      <c r="A522" s="24"/>
      <c r="B522" s="24"/>
      <c r="C522" s="24"/>
      <c r="D522" s="24"/>
      <c r="E522" s="24"/>
      <c r="F522" s="24"/>
      <c r="G522" s="24"/>
      <c r="H522" s="24"/>
      <c r="I522" s="24"/>
      <c r="J522" s="5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2.75" x14ac:dyDescent="0.2">
      <c r="A523" s="24"/>
      <c r="B523" s="24"/>
      <c r="C523" s="24"/>
      <c r="D523" s="24"/>
      <c r="E523" s="24"/>
      <c r="F523" s="24"/>
      <c r="G523" s="24"/>
      <c r="H523" s="24"/>
      <c r="I523" s="24"/>
      <c r="J523" s="5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2.75" x14ac:dyDescent="0.2">
      <c r="A524" s="24"/>
      <c r="B524" s="24"/>
      <c r="C524" s="24"/>
      <c r="D524" s="24"/>
      <c r="E524" s="24"/>
      <c r="F524" s="24"/>
      <c r="G524" s="24"/>
      <c r="H524" s="24"/>
      <c r="I524" s="24"/>
      <c r="J524" s="5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2.75" x14ac:dyDescent="0.2">
      <c r="A525" s="24"/>
      <c r="B525" s="24"/>
      <c r="C525" s="24"/>
      <c r="D525" s="24"/>
      <c r="E525" s="24"/>
      <c r="F525" s="24"/>
      <c r="G525" s="24"/>
      <c r="H525" s="24"/>
      <c r="I525" s="24"/>
      <c r="J525" s="5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2.75" x14ac:dyDescent="0.2">
      <c r="A526" s="24"/>
      <c r="B526" s="24"/>
      <c r="C526" s="24"/>
      <c r="D526" s="24"/>
      <c r="E526" s="24"/>
      <c r="F526" s="24"/>
      <c r="G526" s="24"/>
      <c r="H526" s="24"/>
      <c r="I526" s="24"/>
      <c r="J526" s="5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2.75" x14ac:dyDescent="0.2">
      <c r="A527" s="24"/>
      <c r="B527" s="24"/>
      <c r="C527" s="24"/>
      <c r="D527" s="24"/>
      <c r="E527" s="24"/>
      <c r="F527" s="24"/>
      <c r="G527" s="24"/>
      <c r="H527" s="24"/>
      <c r="I527" s="24"/>
      <c r="J527" s="5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2.75" x14ac:dyDescent="0.2">
      <c r="A528" s="24"/>
      <c r="B528" s="24"/>
      <c r="C528" s="24"/>
      <c r="D528" s="24"/>
      <c r="E528" s="24"/>
      <c r="F528" s="24"/>
      <c r="G528" s="24"/>
      <c r="H528" s="24"/>
      <c r="I528" s="24"/>
      <c r="J528" s="5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2.75" x14ac:dyDescent="0.2">
      <c r="A529" s="24"/>
      <c r="B529" s="24"/>
      <c r="C529" s="24"/>
      <c r="D529" s="24"/>
      <c r="E529" s="24"/>
      <c r="F529" s="24"/>
      <c r="G529" s="24"/>
      <c r="H529" s="24"/>
      <c r="I529" s="24"/>
      <c r="J529" s="5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2.75" x14ac:dyDescent="0.2">
      <c r="A530" s="24"/>
      <c r="B530" s="24"/>
      <c r="C530" s="24"/>
      <c r="D530" s="24"/>
      <c r="E530" s="24"/>
      <c r="F530" s="24"/>
      <c r="G530" s="24"/>
      <c r="H530" s="24"/>
      <c r="I530" s="24"/>
      <c r="J530" s="5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2.75" x14ac:dyDescent="0.2">
      <c r="A531" s="24"/>
      <c r="B531" s="24"/>
      <c r="C531" s="24"/>
      <c r="D531" s="24"/>
      <c r="E531" s="24"/>
      <c r="F531" s="24"/>
      <c r="G531" s="24"/>
      <c r="H531" s="24"/>
      <c r="I531" s="24"/>
      <c r="J531" s="5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2.75" x14ac:dyDescent="0.2">
      <c r="A532" s="24"/>
      <c r="B532" s="24"/>
      <c r="C532" s="24"/>
      <c r="D532" s="24"/>
      <c r="E532" s="24"/>
      <c r="F532" s="24"/>
      <c r="G532" s="24"/>
      <c r="H532" s="24"/>
      <c r="I532" s="24"/>
      <c r="J532" s="5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2.75" x14ac:dyDescent="0.2">
      <c r="A533" s="24"/>
      <c r="B533" s="24"/>
      <c r="C533" s="24"/>
      <c r="D533" s="24"/>
      <c r="E533" s="24"/>
      <c r="F533" s="24"/>
      <c r="G533" s="24"/>
      <c r="H533" s="24"/>
      <c r="I533" s="24"/>
      <c r="J533" s="5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2.75" x14ac:dyDescent="0.2">
      <c r="A534" s="24"/>
      <c r="B534" s="24"/>
      <c r="C534" s="24"/>
      <c r="D534" s="24"/>
      <c r="E534" s="24"/>
      <c r="F534" s="24"/>
      <c r="G534" s="24"/>
      <c r="H534" s="24"/>
      <c r="I534" s="24"/>
      <c r="J534" s="5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2.75" x14ac:dyDescent="0.2">
      <c r="A535" s="24"/>
      <c r="B535" s="24"/>
      <c r="C535" s="24"/>
      <c r="D535" s="24"/>
      <c r="E535" s="24"/>
      <c r="F535" s="24"/>
      <c r="G535" s="24"/>
      <c r="H535" s="24"/>
      <c r="I535" s="24"/>
      <c r="J535" s="5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2.75" x14ac:dyDescent="0.2">
      <c r="A536" s="24"/>
      <c r="B536" s="24"/>
      <c r="C536" s="24"/>
      <c r="D536" s="24"/>
      <c r="E536" s="24"/>
      <c r="F536" s="24"/>
      <c r="G536" s="24"/>
      <c r="H536" s="24"/>
      <c r="I536" s="24"/>
      <c r="J536" s="5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2.75" x14ac:dyDescent="0.2">
      <c r="A537" s="24"/>
      <c r="B537" s="24"/>
      <c r="C537" s="24"/>
      <c r="D537" s="24"/>
      <c r="E537" s="24"/>
      <c r="F537" s="24"/>
      <c r="G537" s="24"/>
      <c r="H537" s="24"/>
      <c r="I537" s="24"/>
      <c r="J537" s="5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2.75" x14ac:dyDescent="0.2">
      <c r="A538" s="24"/>
      <c r="B538" s="24"/>
      <c r="C538" s="24"/>
      <c r="D538" s="24"/>
      <c r="E538" s="24"/>
      <c r="F538" s="24"/>
      <c r="G538" s="24"/>
      <c r="H538" s="24"/>
      <c r="I538" s="24"/>
      <c r="J538" s="5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2.75" x14ac:dyDescent="0.2">
      <c r="A539" s="24"/>
      <c r="B539" s="24"/>
      <c r="C539" s="24"/>
      <c r="D539" s="24"/>
      <c r="E539" s="24"/>
      <c r="F539" s="24"/>
      <c r="G539" s="24"/>
      <c r="H539" s="24"/>
      <c r="I539" s="24"/>
      <c r="J539" s="5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2.75" x14ac:dyDescent="0.2">
      <c r="A540" s="24"/>
      <c r="B540" s="24"/>
      <c r="C540" s="24"/>
      <c r="D540" s="24"/>
      <c r="E540" s="24"/>
      <c r="F540" s="24"/>
      <c r="G540" s="24"/>
      <c r="H540" s="24"/>
      <c r="I540" s="24"/>
      <c r="J540" s="5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2.75" x14ac:dyDescent="0.2">
      <c r="A541" s="24"/>
      <c r="B541" s="24"/>
      <c r="C541" s="24"/>
      <c r="D541" s="24"/>
      <c r="E541" s="24"/>
      <c r="F541" s="24"/>
      <c r="G541" s="24"/>
      <c r="H541" s="24"/>
      <c r="I541" s="24"/>
      <c r="J541" s="5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2.75" x14ac:dyDescent="0.2">
      <c r="A542" s="24"/>
      <c r="B542" s="24"/>
      <c r="C542" s="24"/>
      <c r="D542" s="24"/>
      <c r="E542" s="24"/>
      <c r="F542" s="24"/>
      <c r="G542" s="24"/>
      <c r="H542" s="24"/>
      <c r="I542" s="24"/>
      <c r="J542" s="5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2.75" x14ac:dyDescent="0.2">
      <c r="A543" s="24"/>
      <c r="B543" s="24"/>
      <c r="C543" s="24"/>
      <c r="D543" s="24"/>
      <c r="E543" s="24"/>
      <c r="F543" s="24"/>
      <c r="G543" s="24"/>
      <c r="H543" s="24"/>
      <c r="I543" s="24"/>
      <c r="J543" s="5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2.75" x14ac:dyDescent="0.2">
      <c r="A544" s="24"/>
      <c r="B544" s="24"/>
      <c r="C544" s="24"/>
      <c r="D544" s="24"/>
      <c r="E544" s="24"/>
      <c r="F544" s="24"/>
      <c r="G544" s="24"/>
      <c r="H544" s="24"/>
      <c r="I544" s="24"/>
      <c r="J544" s="5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2.75" x14ac:dyDescent="0.2">
      <c r="A545" s="24"/>
      <c r="B545" s="24"/>
      <c r="C545" s="24"/>
      <c r="D545" s="24"/>
      <c r="E545" s="24"/>
      <c r="F545" s="24"/>
      <c r="G545" s="24"/>
      <c r="H545" s="24"/>
      <c r="I545" s="24"/>
      <c r="J545" s="5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2.75" x14ac:dyDescent="0.2">
      <c r="A546" s="24"/>
      <c r="B546" s="24"/>
      <c r="C546" s="24"/>
      <c r="D546" s="24"/>
      <c r="E546" s="24"/>
      <c r="F546" s="24"/>
      <c r="G546" s="24"/>
      <c r="H546" s="24"/>
      <c r="I546" s="24"/>
      <c r="J546" s="5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2.75" x14ac:dyDescent="0.2">
      <c r="A547" s="24"/>
      <c r="B547" s="24"/>
      <c r="C547" s="24"/>
      <c r="D547" s="24"/>
      <c r="E547" s="24"/>
      <c r="F547" s="24"/>
      <c r="G547" s="24"/>
      <c r="H547" s="24"/>
      <c r="I547" s="24"/>
      <c r="J547" s="5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2.75" x14ac:dyDescent="0.2">
      <c r="A548" s="24"/>
      <c r="B548" s="24"/>
      <c r="C548" s="24"/>
      <c r="D548" s="24"/>
      <c r="E548" s="24"/>
      <c r="F548" s="24"/>
      <c r="G548" s="24"/>
      <c r="H548" s="24"/>
      <c r="I548" s="24"/>
      <c r="J548" s="5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2.75" x14ac:dyDescent="0.2">
      <c r="A549" s="24"/>
      <c r="B549" s="24"/>
      <c r="C549" s="24"/>
      <c r="D549" s="24"/>
      <c r="E549" s="24"/>
      <c r="F549" s="24"/>
      <c r="G549" s="24"/>
      <c r="H549" s="24"/>
      <c r="I549" s="24"/>
      <c r="J549" s="5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2.75" x14ac:dyDescent="0.2">
      <c r="A550" s="24"/>
      <c r="B550" s="24"/>
      <c r="C550" s="24"/>
      <c r="D550" s="24"/>
      <c r="E550" s="24"/>
      <c r="F550" s="24"/>
      <c r="G550" s="24"/>
      <c r="H550" s="24"/>
      <c r="I550" s="24"/>
      <c r="J550" s="5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2.75" x14ac:dyDescent="0.2">
      <c r="A551" s="24"/>
      <c r="B551" s="24"/>
      <c r="C551" s="24"/>
      <c r="D551" s="24"/>
      <c r="E551" s="24"/>
      <c r="F551" s="24"/>
      <c r="G551" s="24"/>
      <c r="H551" s="24"/>
      <c r="I551" s="24"/>
      <c r="J551" s="5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2.75" x14ac:dyDescent="0.2">
      <c r="A552" s="24"/>
      <c r="B552" s="24"/>
      <c r="C552" s="24"/>
      <c r="D552" s="24"/>
      <c r="E552" s="24"/>
      <c r="F552" s="24"/>
      <c r="G552" s="24"/>
      <c r="H552" s="24"/>
      <c r="I552" s="24"/>
      <c r="J552" s="5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2.75" x14ac:dyDescent="0.2">
      <c r="A553" s="24"/>
      <c r="B553" s="24"/>
      <c r="C553" s="24"/>
      <c r="D553" s="24"/>
      <c r="E553" s="24"/>
      <c r="F553" s="24"/>
      <c r="G553" s="24"/>
      <c r="H553" s="24"/>
      <c r="I553" s="24"/>
      <c r="J553" s="5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2.75" x14ac:dyDescent="0.2">
      <c r="A554" s="24"/>
      <c r="B554" s="24"/>
      <c r="C554" s="24"/>
      <c r="D554" s="24"/>
      <c r="E554" s="24"/>
      <c r="F554" s="24"/>
      <c r="G554" s="24"/>
      <c r="H554" s="24"/>
      <c r="I554" s="24"/>
      <c r="J554" s="5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2.75" x14ac:dyDescent="0.2">
      <c r="A555" s="24"/>
      <c r="B555" s="24"/>
      <c r="C555" s="24"/>
      <c r="D555" s="24"/>
      <c r="E555" s="24"/>
      <c r="F555" s="24"/>
      <c r="G555" s="24"/>
      <c r="H555" s="24"/>
      <c r="I555" s="24"/>
      <c r="J555" s="5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2.75" x14ac:dyDescent="0.2">
      <c r="A556" s="24"/>
      <c r="B556" s="24"/>
      <c r="C556" s="24"/>
      <c r="D556" s="24"/>
      <c r="E556" s="24"/>
      <c r="F556" s="24"/>
      <c r="G556" s="24"/>
      <c r="H556" s="24"/>
      <c r="I556" s="24"/>
      <c r="J556" s="5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2.75" x14ac:dyDescent="0.2">
      <c r="A557" s="24"/>
      <c r="B557" s="24"/>
      <c r="C557" s="24"/>
      <c r="D557" s="24"/>
      <c r="E557" s="24"/>
      <c r="F557" s="24"/>
      <c r="G557" s="24"/>
      <c r="H557" s="24"/>
      <c r="I557" s="24"/>
      <c r="J557" s="5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2.75" x14ac:dyDescent="0.2">
      <c r="A558" s="24"/>
      <c r="B558" s="24"/>
      <c r="C558" s="24"/>
      <c r="D558" s="24"/>
      <c r="E558" s="24"/>
      <c r="F558" s="24"/>
      <c r="G558" s="24"/>
      <c r="H558" s="24"/>
      <c r="I558" s="24"/>
      <c r="J558" s="5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2.75" x14ac:dyDescent="0.2">
      <c r="A559" s="24"/>
      <c r="B559" s="24"/>
      <c r="C559" s="24"/>
      <c r="D559" s="24"/>
      <c r="E559" s="24"/>
      <c r="F559" s="24"/>
      <c r="G559" s="24"/>
      <c r="H559" s="24"/>
      <c r="I559" s="24"/>
      <c r="J559" s="5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2.75" x14ac:dyDescent="0.2">
      <c r="A560" s="24"/>
      <c r="B560" s="24"/>
      <c r="C560" s="24"/>
      <c r="D560" s="24"/>
      <c r="E560" s="24"/>
      <c r="F560" s="24"/>
      <c r="G560" s="24"/>
      <c r="H560" s="24"/>
      <c r="I560" s="24"/>
      <c r="J560" s="5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2.75" x14ac:dyDescent="0.2">
      <c r="A561" s="24"/>
      <c r="B561" s="24"/>
      <c r="C561" s="24"/>
      <c r="D561" s="24"/>
      <c r="E561" s="24"/>
      <c r="F561" s="24"/>
      <c r="G561" s="24"/>
      <c r="H561" s="24"/>
      <c r="I561" s="24"/>
      <c r="J561" s="5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2.75" x14ac:dyDescent="0.2">
      <c r="A562" s="24"/>
      <c r="B562" s="24"/>
      <c r="C562" s="24"/>
      <c r="D562" s="24"/>
      <c r="E562" s="24"/>
      <c r="F562" s="24"/>
      <c r="G562" s="24"/>
      <c r="H562" s="24"/>
      <c r="I562" s="24"/>
      <c r="J562" s="5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2.75" x14ac:dyDescent="0.2">
      <c r="A563" s="24"/>
      <c r="B563" s="24"/>
      <c r="C563" s="24"/>
      <c r="D563" s="24"/>
      <c r="E563" s="24"/>
      <c r="F563" s="24"/>
      <c r="G563" s="24"/>
      <c r="H563" s="24"/>
      <c r="I563" s="24"/>
      <c r="J563" s="5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2.75" x14ac:dyDescent="0.2">
      <c r="A564" s="24"/>
      <c r="B564" s="24"/>
      <c r="C564" s="24"/>
      <c r="D564" s="24"/>
      <c r="E564" s="24"/>
      <c r="F564" s="24"/>
      <c r="G564" s="24"/>
      <c r="H564" s="24"/>
      <c r="I564" s="24"/>
      <c r="J564" s="5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2.75" x14ac:dyDescent="0.2">
      <c r="A565" s="24"/>
      <c r="B565" s="24"/>
      <c r="C565" s="24"/>
      <c r="D565" s="24"/>
      <c r="E565" s="24"/>
      <c r="F565" s="24"/>
      <c r="G565" s="24"/>
      <c r="H565" s="24"/>
      <c r="I565" s="24"/>
      <c r="J565" s="5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2.75" x14ac:dyDescent="0.2">
      <c r="A566" s="24"/>
      <c r="B566" s="24"/>
      <c r="C566" s="24"/>
      <c r="D566" s="24"/>
      <c r="E566" s="24"/>
      <c r="F566" s="24"/>
      <c r="G566" s="24"/>
      <c r="H566" s="24"/>
      <c r="I566" s="24"/>
      <c r="J566" s="5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2.75" x14ac:dyDescent="0.2">
      <c r="A567" s="24"/>
      <c r="B567" s="24"/>
      <c r="C567" s="24"/>
      <c r="D567" s="24"/>
      <c r="E567" s="24"/>
      <c r="F567" s="24"/>
      <c r="G567" s="24"/>
      <c r="H567" s="24"/>
      <c r="I567" s="24"/>
      <c r="J567" s="5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2.75" x14ac:dyDescent="0.2">
      <c r="A568" s="24"/>
      <c r="B568" s="24"/>
      <c r="C568" s="24"/>
      <c r="D568" s="24"/>
      <c r="E568" s="24"/>
      <c r="F568" s="24"/>
      <c r="G568" s="24"/>
      <c r="H568" s="24"/>
      <c r="I568" s="24"/>
      <c r="J568" s="5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2.75" x14ac:dyDescent="0.2">
      <c r="A569" s="24"/>
      <c r="B569" s="24"/>
      <c r="C569" s="24"/>
      <c r="D569" s="24"/>
      <c r="E569" s="24"/>
      <c r="F569" s="24"/>
      <c r="G569" s="24"/>
      <c r="H569" s="24"/>
      <c r="I569" s="24"/>
      <c r="J569" s="5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2.75" x14ac:dyDescent="0.2">
      <c r="A570" s="24"/>
      <c r="B570" s="24"/>
      <c r="C570" s="24"/>
      <c r="D570" s="24"/>
      <c r="E570" s="24"/>
      <c r="F570" s="24"/>
      <c r="G570" s="24"/>
      <c r="H570" s="24"/>
      <c r="I570" s="24"/>
      <c r="J570" s="5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2.75" x14ac:dyDescent="0.2">
      <c r="A571" s="24"/>
      <c r="B571" s="24"/>
      <c r="C571" s="24"/>
      <c r="D571" s="24"/>
      <c r="E571" s="24"/>
      <c r="F571" s="24"/>
      <c r="G571" s="24"/>
      <c r="H571" s="24"/>
      <c r="I571" s="24"/>
      <c r="J571" s="5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2.75" x14ac:dyDescent="0.2">
      <c r="A572" s="24"/>
      <c r="B572" s="24"/>
      <c r="C572" s="24"/>
      <c r="D572" s="24"/>
      <c r="E572" s="24"/>
      <c r="F572" s="24"/>
      <c r="G572" s="24"/>
      <c r="H572" s="24"/>
      <c r="I572" s="24"/>
      <c r="J572" s="5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2.75" x14ac:dyDescent="0.2">
      <c r="A573" s="24"/>
      <c r="B573" s="24"/>
      <c r="C573" s="24"/>
      <c r="D573" s="24"/>
      <c r="E573" s="24"/>
      <c r="F573" s="24"/>
      <c r="G573" s="24"/>
      <c r="H573" s="24"/>
      <c r="I573" s="24"/>
      <c r="J573" s="5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2.75" x14ac:dyDescent="0.2">
      <c r="A574" s="24"/>
      <c r="B574" s="24"/>
      <c r="C574" s="24"/>
      <c r="D574" s="24"/>
      <c r="E574" s="24"/>
      <c r="F574" s="24"/>
      <c r="G574" s="24"/>
      <c r="H574" s="24"/>
      <c r="I574" s="24"/>
      <c r="J574" s="5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2.75" x14ac:dyDescent="0.2">
      <c r="A575" s="24"/>
      <c r="B575" s="24"/>
      <c r="C575" s="24"/>
      <c r="D575" s="24"/>
      <c r="E575" s="24"/>
      <c r="F575" s="24"/>
      <c r="G575" s="24"/>
      <c r="H575" s="24"/>
      <c r="I575" s="24"/>
      <c r="J575" s="5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2.75" x14ac:dyDescent="0.2">
      <c r="A576" s="24"/>
      <c r="B576" s="24"/>
      <c r="C576" s="24"/>
      <c r="D576" s="24"/>
      <c r="E576" s="24"/>
      <c r="F576" s="24"/>
      <c r="G576" s="24"/>
      <c r="H576" s="24"/>
      <c r="I576" s="24"/>
      <c r="J576" s="5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2.75" x14ac:dyDescent="0.2">
      <c r="A577" s="24"/>
      <c r="B577" s="24"/>
      <c r="C577" s="24"/>
      <c r="D577" s="24"/>
      <c r="E577" s="24"/>
      <c r="F577" s="24"/>
      <c r="G577" s="24"/>
      <c r="H577" s="24"/>
      <c r="I577" s="24"/>
      <c r="J577" s="5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2.75" x14ac:dyDescent="0.2">
      <c r="A578" s="24"/>
      <c r="B578" s="24"/>
      <c r="C578" s="24"/>
      <c r="D578" s="24"/>
      <c r="E578" s="24"/>
      <c r="F578" s="24"/>
      <c r="G578" s="24"/>
      <c r="H578" s="24"/>
      <c r="I578" s="24"/>
      <c r="J578" s="5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2.75" x14ac:dyDescent="0.2">
      <c r="A579" s="24"/>
      <c r="B579" s="24"/>
      <c r="C579" s="24"/>
      <c r="D579" s="24"/>
      <c r="E579" s="24"/>
      <c r="F579" s="24"/>
      <c r="G579" s="24"/>
      <c r="H579" s="24"/>
      <c r="I579" s="24"/>
      <c r="J579" s="5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2.75" x14ac:dyDescent="0.2">
      <c r="A580" s="24"/>
      <c r="B580" s="24"/>
      <c r="C580" s="24"/>
      <c r="D580" s="24"/>
      <c r="E580" s="24"/>
      <c r="F580" s="24"/>
      <c r="G580" s="24"/>
      <c r="H580" s="24"/>
      <c r="I580" s="24"/>
      <c r="J580" s="5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2.75" x14ac:dyDescent="0.2">
      <c r="A581" s="24"/>
      <c r="B581" s="24"/>
      <c r="C581" s="24"/>
      <c r="D581" s="24"/>
      <c r="E581" s="24"/>
      <c r="F581" s="24"/>
      <c r="G581" s="24"/>
      <c r="H581" s="24"/>
      <c r="I581" s="24"/>
      <c r="J581" s="5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2.75" x14ac:dyDescent="0.2">
      <c r="A582" s="24"/>
      <c r="B582" s="24"/>
      <c r="C582" s="24"/>
      <c r="D582" s="24"/>
      <c r="E582" s="24"/>
      <c r="F582" s="24"/>
      <c r="G582" s="24"/>
      <c r="H582" s="24"/>
      <c r="I582" s="24"/>
      <c r="J582" s="5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2.75" x14ac:dyDescent="0.2">
      <c r="A583" s="24"/>
      <c r="B583" s="24"/>
      <c r="C583" s="24"/>
      <c r="D583" s="24"/>
      <c r="E583" s="24"/>
      <c r="F583" s="24"/>
      <c r="G583" s="24"/>
      <c r="H583" s="24"/>
      <c r="I583" s="24"/>
      <c r="J583" s="5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2.75" x14ac:dyDescent="0.2">
      <c r="A584" s="24"/>
      <c r="B584" s="24"/>
      <c r="C584" s="24"/>
      <c r="D584" s="24"/>
      <c r="E584" s="24"/>
      <c r="F584" s="24"/>
      <c r="G584" s="24"/>
      <c r="H584" s="24"/>
      <c r="I584" s="24"/>
      <c r="J584" s="5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2.75" x14ac:dyDescent="0.2">
      <c r="A585" s="24"/>
      <c r="B585" s="24"/>
      <c r="C585" s="24"/>
      <c r="D585" s="24"/>
      <c r="E585" s="24"/>
      <c r="F585" s="24"/>
      <c r="G585" s="24"/>
      <c r="H585" s="24"/>
      <c r="I585" s="24"/>
      <c r="J585" s="5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2.75" x14ac:dyDescent="0.2">
      <c r="A586" s="24"/>
      <c r="B586" s="24"/>
      <c r="C586" s="24"/>
      <c r="D586" s="24"/>
      <c r="E586" s="24"/>
      <c r="F586" s="24"/>
      <c r="G586" s="24"/>
      <c r="H586" s="24"/>
      <c r="I586" s="24"/>
      <c r="J586" s="5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2.75" x14ac:dyDescent="0.2">
      <c r="A587" s="24"/>
      <c r="B587" s="24"/>
      <c r="C587" s="24"/>
      <c r="D587" s="24"/>
      <c r="E587" s="24"/>
      <c r="F587" s="24"/>
      <c r="G587" s="24"/>
      <c r="H587" s="24"/>
      <c r="I587" s="24"/>
      <c r="J587" s="5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2.75" x14ac:dyDescent="0.2">
      <c r="A588" s="24"/>
      <c r="B588" s="24"/>
      <c r="C588" s="24"/>
      <c r="D588" s="24"/>
      <c r="E588" s="24"/>
      <c r="F588" s="24"/>
      <c r="G588" s="24"/>
      <c r="H588" s="24"/>
      <c r="I588" s="24"/>
      <c r="J588" s="5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2.75" x14ac:dyDescent="0.2">
      <c r="A589" s="24"/>
      <c r="B589" s="24"/>
      <c r="C589" s="24"/>
      <c r="D589" s="24"/>
      <c r="E589" s="24"/>
      <c r="F589" s="24"/>
      <c r="G589" s="24"/>
      <c r="H589" s="24"/>
      <c r="I589" s="24"/>
      <c r="J589" s="5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2.75" x14ac:dyDescent="0.2">
      <c r="A590" s="24"/>
      <c r="B590" s="24"/>
      <c r="C590" s="24"/>
      <c r="D590" s="24"/>
      <c r="E590" s="24"/>
      <c r="F590" s="24"/>
      <c r="G590" s="24"/>
      <c r="H590" s="24"/>
      <c r="I590" s="24"/>
      <c r="J590" s="5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2.75" x14ac:dyDescent="0.2">
      <c r="A591" s="24"/>
      <c r="B591" s="24"/>
      <c r="C591" s="24"/>
      <c r="D591" s="24"/>
      <c r="E591" s="24"/>
      <c r="F591" s="24"/>
      <c r="G591" s="24"/>
      <c r="H591" s="24"/>
      <c r="I591" s="24"/>
      <c r="J591" s="5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2.75" x14ac:dyDescent="0.2">
      <c r="A592" s="24"/>
      <c r="B592" s="24"/>
      <c r="C592" s="24"/>
      <c r="D592" s="24"/>
      <c r="E592" s="24"/>
      <c r="F592" s="24"/>
      <c r="G592" s="24"/>
      <c r="H592" s="24"/>
      <c r="I592" s="24"/>
      <c r="J592" s="5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2.75" x14ac:dyDescent="0.2">
      <c r="A593" s="24"/>
      <c r="B593" s="24"/>
      <c r="C593" s="24"/>
      <c r="D593" s="24"/>
      <c r="E593" s="24"/>
      <c r="F593" s="24"/>
      <c r="G593" s="24"/>
      <c r="H593" s="24"/>
      <c r="I593" s="24"/>
      <c r="J593" s="5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2.75" x14ac:dyDescent="0.2">
      <c r="A594" s="24"/>
      <c r="B594" s="24"/>
      <c r="C594" s="24"/>
      <c r="D594" s="24"/>
      <c r="E594" s="24"/>
      <c r="F594" s="24"/>
      <c r="G594" s="24"/>
      <c r="H594" s="24"/>
      <c r="I594" s="24"/>
      <c r="J594" s="5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2.75" x14ac:dyDescent="0.2">
      <c r="A595" s="24"/>
      <c r="B595" s="24"/>
      <c r="C595" s="24"/>
      <c r="D595" s="24"/>
      <c r="E595" s="24"/>
      <c r="F595" s="24"/>
      <c r="G595" s="24"/>
      <c r="H595" s="24"/>
      <c r="I595" s="24"/>
      <c r="J595" s="5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2.75" x14ac:dyDescent="0.2">
      <c r="A596" s="24"/>
      <c r="B596" s="24"/>
      <c r="C596" s="24"/>
      <c r="D596" s="24"/>
      <c r="E596" s="24"/>
      <c r="F596" s="24"/>
      <c r="G596" s="24"/>
      <c r="H596" s="24"/>
      <c r="I596" s="24"/>
      <c r="J596" s="5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2.75" x14ac:dyDescent="0.2">
      <c r="A597" s="24"/>
      <c r="B597" s="24"/>
      <c r="C597" s="24"/>
      <c r="D597" s="24"/>
      <c r="E597" s="24"/>
      <c r="F597" s="24"/>
      <c r="G597" s="24"/>
      <c r="H597" s="24"/>
      <c r="I597" s="24"/>
      <c r="J597" s="5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2.75" x14ac:dyDescent="0.2">
      <c r="A598" s="24"/>
      <c r="B598" s="24"/>
      <c r="C598" s="24"/>
      <c r="D598" s="24"/>
      <c r="E598" s="24"/>
      <c r="F598" s="24"/>
      <c r="G598" s="24"/>
      <c r="H598" s="24"/>
      <c r="I598" s="24"/>
      <c r="J598" s="5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2.75" x14ac:dyDescent="0.2">
      <c r="A599" s="24"/>
      <c r="B599" s="24"/>
      <c r="C599" s="24"/>
      <c r="D599" s="24"/>
      <c r="E599" s="24"/>
      <c r="F599" s="24"/>
      <c r="G599" s="24"/>
      <c r="H599" s="24"/>
      <c r="I599" s="24"/>
      <c r="J599" s="5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2.75" x14ac:dyDescent="0.2">
      <c r="A600" s="24"/>
      <c r="B600" s="24"/>
      <c r="C600" s="24"/>
      <c r="D600" s="24"/>
      <c r="E600" s="24"/>
      <c r="F600" s="24"/>
      <c r="G600" s="24"/>
      <c r="H600" s="24"/>
      <c r="I600" s="24"/>
      <c r="J600" s="5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2.75" x14ac:dyDescent="0.2">
      <c r="A601" s="24"/>
      <c r="B601" s="24"/>
      <c r="C601" s="24"/>
      <c r="D601" s="24"/>
      <c r="E601" s="24"/>
      <c r="F601" s="24"/>
      <c r="G601" s="24"/>
      <c r="H601" s="24"/>
      <c r="I601" s="24"/>
      <c r="J601" s="5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2.75" x14ac:dyDescent="0.2">
      <c r="A602" s="24"/>
      <c r="B602" s="24"/>
      <c r="C602" s="24"/>
      <c r="D602" s="24"/>
      <c r="E602" s="24"/>
      <c r="F602" s="24"/>
      <c r="G602" s="24"/>
      <c r="H602" s="24"/>
      <c r="I602" s="24"/>
      <c r="J602" s="5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2.75" x14ac:dyDescent="0.2">
      <c r="A603" s="24"/>
      <c r="B603" s="24"/>
      <c r="C603" s="24"/>
      <c r="D603" s="24"/>
      <c r="E603" s="24"/>
      <c r="F603" s="24"/>
      <c r="G603" s="24"/>
      <c r="H603" s="24"/>
      <c r="I603" s="24"/>
      <c r="J603" s="5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2.75" x14ac:dyDescent="0.2">
      <c r="A604" s="24"/>
      <c r="B604" s="24"/>
      <c r="C604" s="24"/>
      <c r="D604" s="24"/>
      <c r="E604" s="24"/>
      <c r="F604" s="24"/>
      <c r="G604" s="24"/>
      <c r="H604" s="24"/>
      <c r="I604" s="24"/>
      <c r="J604" s="5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2.75" x14ac:dyDescent="0.2">
      <c r="A605" s="24"/>
      <c r="B605" s="24"/>
      <c r="C605" s="24"/>
      <c r="D605" s="24"/>
      <c r="E605" s="24"/>
      <c r="F605" s="24"/>
      <c r="G605" s="24"/>
      <c r="H605" s="24"/>
      <c r="I605" s="24"/>
      <c r="J605" s="5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2.75" x14ac:dyDescent="0.2">
      <c r="A606" s="24"/>
      <c r="B606" s="24"/>
      <c r="C606" s="24"/>
      <c r="D606" s="24"/>
      <c r="E606" s="24"/>
      <c r="F606" s="24"/>
      <c r="G606" s="24"/>
      <c r="H606" s="24"/>
      <c r="I606" s="24"/>
      <c r="J606" s="5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2.75" x14ac:dyDescent="0.2">
      <c r="A607" s="24"/>
      <c r="B607" s="24"/>
      <c r="C607" s="24"/>
      <c r="D607" s="24"/>
      <c r="E607" s="24"/>
      <c r="F607" s="24"/>
      <c r="G607" s="24"/>
      <c r="H607" s="24"/>
      <c r="I607" s="24"/>
      <c r="J607" s="5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2.75" x14ac:dyDescent="0.2">
      <c r="A608" s="24"/>
      <c r="B608" s="24"/>
      <c r="C608" s="24"/>
      <c r="D608" s="24"/>
      <c r="E608" s="24"/>
      <c r="F608" s="24"/>
      <c r="G608" s="24"/>
      <c r="H608" s="24"/>
      <c r="I608" s="24"/>
      <c r="J608" s="5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2.75" x14ac:dyDescent="0.2">
      <c r="A609" s="24"/>
      <c r="B609" s="24"/>
      <c r="C609" s="24"/>
      <c r="D609" s="24"/>
      <c r="E609" s="24"/>
      <c r="F609" s="24"/>
      <c r="G609" s="24"/>
      <c r="H609" s="24"/>
      <c r="I609" s="24"/>
      <c r="J609" s="5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2.75" x14ac:dyDescent="0.2">
      <c r="A610" s="24"/>
      <c r="B610" s="24"/>
      <c r="C610" s="24"/>
      <c r="D610" s="24"/>
      <c r="E610" s="24"/>
      <c r="F610" s="24"/>
      <c r="G610" s="24"/>
      <c r="H610" s="24"/>
      <c r="I610" s="24"/>
      <c r="J610" s="5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2.75" x14ac:dyDescent="0.2">
      <c r="A611" s="24"/>
      <c r="B611" s="24"/>
      <c r="C611" s="24"/>
      <c r="D611" s="24"/>
      <c r="E611" s="24"/>
      <c r="F611" s="24"/>
      <c r="G611" s="24"/>
      <c r="H611" s="24"/>
      <c r="I611" s="24"/>
      <c r="J611" s="5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2.75" x14ac:dyDescent="0.2">
      <c r="A612" s="24"/>
      <c r="B612" s="24"/>
      <c r="C612" s="24"/>
      <c r="D612" s="24"/>
      <c r="E612" s="24"/>
      <c r="F612" s="24"/>
      <c r="G612" s="24"/>
      <c r="H612" s="24"/>
      <c r="I612" s="24"/>
      <c r="J612" s="5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2.75" x14ac:dyDescent="0.2">
      <c r="A613" s="24"/>
      <c r="B613" s="24"/>
      <c r="C613" s="24"/>
      <c r="D613" s="24"/>
      <c r="E613" s="24"/>
      <c r="F613" s="24"/>
      <c r="G613" s="24"/>
      <c r="H613" s="24"/>
      <c r="I613" s="24"/>
      <c r="J613" s="5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2.75" x14ac:dyDescent="0.2">
      <c r="A614" s="24"/>
      <c r="B614" s="24"/>
      <c r="C614" s="24"/>
      <c r="D614" s="24"/>
      <c r="E614" s="24"/>
      <c r="F614" s="24"/>
      <c r="G614" s="24"/>
      <c r="H614" s="24"/>
      <c r="I614" s="24"/>
      <c r="J614" s="5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2.75" x14ac:dyDescent="0.2">
      <c r="A615" s="24"/>
      <c r="B615" s="24"/>
      <c r="C615" s="24"/>
      <c r="D615" s="24"/>
      <c r="E615" s="24"/>
      <c r="F615" s="24"/>
      <c r="G615" s="24"/>
      <c r="H615" s="24"/>
      <c r="I615" s="24"/>
      <c r="J615" s="5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2.75" x14ac:dyDescent="0.2">
      <c r="A616" s="24"/>
      <c r="B616" s="24"/>
      <c r="C616" s="24"/>
      <c r="D616" s="24"/>
      <c r="E616" s="24"/>
      <c r="F616" s="24"/>
      <c r="G616" s="24"/>
      <c r="H616" s="24"/>
      <c r="I616" s="24"/>
      <c r="J616" s="5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2.75" x14ac:dyDescent="0.2">
      <c r="A617" s="24"/>
      <c r="B617" s="24"/>
      <c r="C617" s="24"/>
      <c r="D617" s="24"/>
      <c r="E617" s="24"/>
      <c r="F617" s="24"/>
      <c r="G617" s="24"/>
      <c r="H617" s="24"/>
      <c r="I617" s="24"/>
      <c r="J617" s="5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2.75" x14ac:dyDescent="0.2">
      <c r="A618" s="24"/>
      <c r="B618" s="24"/>
      <c r="C618" s="24"/>
      <c r="D618" s="24"/>
      <c r="E618" s="24"/>
      <c r="F618" s="24"/>
      <c r="G618" s="24"/>
      <c r="H618" s="24"/>
      <c r="I618" s="24"/>
      <c r="J618" s="5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2.75" x14ac:dyDescent="0.2">
      <c r="A619" s="24"/>
      <c r="B619" s="24"/>
      <c r="C619" s="24"/>
      <c r="D619" s="24"/>
      <c r="E619" s="24"/>
      <c r="F619" s="24"/>
      <c r="G619" s="24"/>
      <c r="H619" s="24"/>
      <c r="I619" s="24"/>
      <c r="J619" s="5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2.75" x14ac:dyDescent="0.2">
      <c r="A620" s="24"/>
      <c r="B620" s="24"/>
      <c r="C620" s="24"/>
      <c r="D620" s="24"/>
      <c r="E620" s="24"/>
      <c r="F620" s="24"/>
      <c r="G620" s="24"/>
      <c r="H620" s="24"/>
      <c r="I620" s="24"/>
      <c r="J620" s="5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2.75" x14ac:dyDescent="0.2">
      <c r="A621" s="24"/>
      <c r="B621" s="24"/>
      <c r="C621" s="24"/>
      <c r="D621" s="24"/>
      <c r="E621" s="24"/>
      <c r="F621" s="24"/>
      <c r="G621" s="24"/>
      <c r="H621" s="24"/>
      <c r="I621" s="24"/>
      <c r="J621" s="5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2.75" x14ac:dyDescent="0.2">
      <c r="A622" s="24"/>
      <c r="B622" s="24"/>
      <c r="C622" s="24"/>
      <c r="D622" s="24"/>
      <c r="E622" s="24"/>
      <c r="F622" s="24"/>
      <c r="G622" s="24"/>
      <c r="H622" s="24"/>
      <c r="I622" s="24"/>
      <c r="J622" s="5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2.75" x14ac:dyDescent="0.2">
      <c r="A623" s="24"/>
      <c r="B623" s="24"/>
      <c r="C623" s="24"/>
      <c r="D623" s="24"/>
      <c r="E623" s="24"/>
      <c r="F623" s="24"/>
      <c r="G623" s="24"/>
      <c r="H623" s="24"/>
      <c r="I623" s="24"/>
      <c r="J623" s="5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2.75" x14ac:dyDescent="0.2">
      <c r="A624" s="24"/>
      <c r="B624" s="24"/>
      <c r="C624" s="24"/>
      <c r="D624" s="24"/>
      <c r="E624" s="24"/>
      <c r="F624" s="24"/>
      <c r="G624" s="24"/>
      <c r="H624" s="24"/>
      <c r="I624" s="24"/>
      <c r="J624" s="5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2.75" x14ac:dyDescent="0.2">
      <c r="A625" s="24"/>
      <c r="B625" s="24"/>
      <c r="C625" s="24"/>
      <c r="D625" s="24"/>
      <c r="E625" s="24"/>
      <c r="F625" s="24"/>
      <c r="G625" s="24"/>
      <c r="H625" s="24"/>
      <c r="I625" s="24"/>
      <c r="J625" s="5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2.75" x14ac:dyDescent="0.2">
      <c r="A626" s="24"/>
      <c r="B626" s="24"/>
      <c r="C626" s="24"/>
      <c r="D626" s="24"/>
      <c r="E626" s="24"/>
      <c r="F626" s="24"/>
      <c r="G626" s="24"/>
      <c r="H626" s="24"/>
      <c r="I626" s="24"/>
      <c r="J626" s="5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2.75" x14ac:dyDescent="0.2">
      <c r="A627" s="24"/>
      <c r="B627" s="24"/>
      <c r="C627" s="24"/>
      <c r="D627" s="24"/>
      <c r="E627" s="24"/>
      <c r="F627" s="24"/>
      <c r="G627" s="24"/>
      <c r="H627" s="24"/>
      <c r="I627" s="24"/>
      <c r="J627" s="5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2.75" x14ac:dyDescent="0.2">
      <c r="A628" s="24"/>
      <c r="B628" s="24"/>
      <c r="C628" s="24"/>
      <c r="D628" s="24"/>
      <c r="E628" s="24"/>
      <c r="F628" s="24"/>
      <c r="G628" s="24"/>
      <c r="H628" s="24"/>
      <c r="I628" s="24"/>
      <c r="J628" s="5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2.75" x14ac:dyDescent="0.2">
      <c r="A629" s="24"/>
      <c r="B629" s="24"/>
      <c r="C629" s="24"/>
      <c r="D629" s="24"/>
      <c r="E629" s="24"/>
      <c r="F629" s="24"/>
      <c r="G629" s="24"/>
      <c r="H629" s="24"/>
      <c r="I629" s="24"/>
      <c r="J629" s="5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2.75" x14ac:dyDescent="0.2">
      <c r="A630" s="24"/>
      <c r="B630" s="24"/>
      <c r="C630" s="24"/>
      <c r="D630" s="24"/>
      <c r="E630" s="24"/>
      <c r="F630" s="24"/>
      <c r="G630" s="24"/>
      <c r="H630" s="24"/>
      <c r="I630" s="24"/>
      <c r="J630" s="5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2.75" x14ac:dyDescent="0.2">
      <c r="A631" s="24"/>
      <c r="B631" s="24"/>
      <c r="C631" s="24"/>
      <c r="D631" s="24"/>
      <c r="E631" s="24"/>
      <c r="F631" s="24"/>
      <c r="G631" s="24"/>
      <c r="H631" s="24"/>
      <c r="I631" s="24"/>
      <c r="J631" s="5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2.75" x14ac:dyDescent="0.2">
      <c r="A632" s="24"/>
      <c r="B632" s="24"/>
      <c r="C632" s="24"/>
      <c r="D632" s="24"/>
      <c r="E632" s="24"/>
      <c r="F632" s="24"/>
      <c r="G632" s="24"/>
      <c r="H632" s="24"/>
      <c r="I632" s="24"/>
      <c r="J632" s="5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2.75" x14ac:dyDescent="0.2">
      <c r="A633" s="24"/>
      <c r="B633" s="24"/>
      <c r="C633" s="24"/>
      <c r="D633" s="24"/>
      <c r="E633" s="24"/>
      <c r="F633" s="24"/>
      <c r="G633" s="24"/>
      <c r="H633" s="24"/>
      <c r="I633" s="24"/>
      <c r="J633" s="5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2.75" x14ac:dyDescent="0.2">
      <c r="A634" s="24"/>
      <c r="B634" s="24"/>
      <c r="C634" s="24"/>
      <c r="D634" s="24"/>
      <c r="E634" s="24"/>
      <c r="F634" s="24"/>
      <c r="G634" s="24"/>
      <c r="H634" s="24"/>
      <c r="I634" s="24"/>
      <c r="J634" s="5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2.75" x14ac:dyDescent="0.2">
      <c r="A635" s="24"/>
      <c r="B635" s="24"/>
      <c r="C635" s="24"/>
      <c r="D635" s="24"/>
      <c r="E635" s="24"/>
      <c r="F635" s="24"/>
      <c r="G635" s="24"/>
      <c r="H635" s="24"/>
      <c r="I635" s="24"/>
      <c r="J635" s="5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2.75" x14ac:dyDescent="0.2">
      <c r="A636" s="24"/>
      <c r="B636" s="24"/>
      <c r="C636" s="24"/>
      <c r="D636" s="24"/>
      <c r="E636" s="24"/>
      <c r="F636" s="24"/>
      <c r="G636" s="24"/>
      <c r="H636" s="24"/>
      <c r="I636" s="24"/>
      <c r="J636" s="5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2.75" x14ac:dyDescent="0.2">
      <c r="A637" s="24"/>
      <c r="B637" s="24"/>
      <c r="C637" s="24"/>
      <c r="D637" s="24"/>
      <c r="E637" s="24"/>
      <c r="F637" s="24"/>
      <c r="G637" s="24"/>
      <c r="H637" s="24"/>
      <c r="I637" s="24"/>
      <c r="J637" s="5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2.75" x14ac:dyDescent="0.2">
      <c r="A638" s="24"/>
      <c r="B638" s="24"/>
      <c r="C638" s="24"/>
      <c r="D638" s="24"/>
      <c r="E638" s="24"/>
      <c r="F638" s="24"/>
      <c r="G638" s="24"/>
      <c r="H638" s="24"/>
      <c r="I638" s="24"/>
      <c r="J638" s="5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2.75" x14ac:dyDescent="0.2">
      <c r="A639" s="24"/>
      <c r="B639" s="24"/>
      <c r="C639" s="24"/>
      <c r="D639" s="24"/>
      <c r="E639" s="24"/>
      <c r="F639" s="24"/>
      <c r="G639" s="24"/>
      <c r="H639" s="24"/>
      <c r="I639" s="24"/>
      <c r="J639" s="5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2.75" x14ac:dyDescent="0.2">
      <c r="A640" s="24"/>
      <c r="B640" s="24"/>
      <c r="C640" s="24"/>
      <c r="D640" s="24"/>
      <c r="E640" s="24"/>
      <c r="F640" s="24"/>
      <c r="G640" s="24"/>
      <c r="H640" s="24"/>
      <c r="I640" s="24"/>
      <c r="J640" s="5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2.75" x14ac:dyDescent="0.2">
      <c r="A641" s="24"/>
      <c r="B641" s="24"/>
      <c r="C641" s="24"/>
      <c r="D641" s="24"/>
      <c r="E641" s="24"/>
      <c r="F641" s="24"/>
      <c r="G641" s="24"/>
      <c r="H641" s="24"/>
      <c r="I641" s="24"/>
      <c r="J641" s="5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2.75" x14ac:dyDescent="0.2">
      <c r="A642" s="24"/>
      <c r="B642" s="24"/>
      <c r="C642" s="24"/>
      <c r="D642" s="24"/>
      <c r="E642" s="24"/>
      <c r="F642" s="24"/>
      <c r="G642" s="24"/>
      <c r="H642" s="24"/>
      <c r="I642" s="24"/>
      <c r="J642" s="5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2.75" x14ac:dyDescent="0.2">
      <c r="A643" s="24"/>
      <c r="B643" s="24"/>
      <c r="C643" s="24"/>
      <c r="D643" s="24"/>
      <c r="E643" s="24"/>
      <c r="F643" s="24"/>
      <c r="G643" s="24"/>
      <c r="H643" s="24"/>
      <c r="I643" s="24"/>
      <c r="J643" s="5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2.75" x14ac:dyDescent="0.2">
      <c r="A644" s="24"/>
      <c r="B644" s="24"/>
      <c r="C644" s="24"/>
      <c r="D644" s="24"/>
      <c r="E644" s="24"/>
      <c r="F644" s="24"/>
      <c r="G644" s="24"/>
      <c r="H644" s="24"/>
      <c r="I644" s="24"/>
      <c r="J644" s="5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2.75" x14ac:dyDescent="0.2">
      <c r="A645" s="24"/>
      <c r="B645" s="24"/>
      <c r="C645" s="24"/>
      <c r="D645" s="24"/>
      <c r="E645" s="24"/>
      <c r="F645" s="24"/>
      <c r="G645" s="24"/>
      <c r="H645" s="24"/>
      <c r="I645" s="24"/>
      <c r="J645" s="5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2.75" x14ac:dyDescent="0.2">
      <c r="A646" s="24"/>
      <c r="B646" s="24"/>
      <c r="C646" s="24"/>
      <c r="D646" s="24"/>
      <c r="E646" s="24"/>
      <c r="F646" s="24"/>
      <c r="G646" s="24"/>
      <c r="H646" s="24"/>
      <c r="I646" s="24"/>
      <c r="J646" s="5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2.75" x14ac:dyDescent="0.2">
      <c r="A647" s="24"/>
      <c r="B647" s="24"/>
      <c r="C647" s="24"/>
      <c r="D647" s="24"/>
      <c r="E647" s="24"/>
      <c r="F647" s="24"/>
      <c r="G647" s="24"/>
      <c r="H647" s="24"/>
      <c r="I647" s="24"/>
      <c r="J647" s="5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2.75" x14ac:dyDescent="0.2">
      <c r="A648" s="24"/>
      <c r="B648" s="24"/>
      <c r="C648" s="24"/>
      <c r="D648" s="24"/>
      <c r="E648" s="24"/>
      <c r="F648" s="24"/>
      <c r="G648" s="24"/>
      <c r="H648" s="24"/>
      <c r="I648" s="24"/>
      <c r="J648" s="5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2.75" x14ac:dyDescent="0.2">
      <c r="A649" s="24"/>
      <c r="B649" s="24"/>
      <c r="C649" s="24"/>
      <c r="D649" s="24"/>
      <c r="E649" s="24"/>
      <c r="F649" s="24"/>
      <c r="G649" s="24"/>
      <c r="H649" s="24"/>
      <c r="I649" s="24"/>
      <c r="J649" s="5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2.75" x14ac:dyDescent="0.2">
      <c r="A650" s="24"/>
      <c r="B650" s="24"/>
      <c r="C650" s="24"/>
      <c r="D650" s="24"/>
      <c r="E650" s="24"/>
      <c r="F650" s="24"/>
      <c r="G650" s="24"/>
      <c r="H650" s="24"/>
      <c r="I650" s="24"/>
      <c r="J650" s="5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2.75" x14ac:dyDescent="0.2">
      <c r="A651" s="24"/>
      <c r="B651" s="24"/>
      <c r="C651" s="24"/>
      <c r="D651" s="24"/>
      <c r="E651" s="24"/>
      <c r="F651" s="24"/>
      <c r="G651" s="24"/>
      <c r="H651" s="24"/>
      <c r="I651" s="24"/>
      <c r="J651" s="5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2.75" x14ac:dyDescent="0.2">
      <c r="A652" s="24"/>
      <c r="B652" s="24"/>
      <c r="C652" s="24"/>
      <c r="D652" s="24"/>
      <c r="E652" s="24"/>
      <c r="F652" s="24"/>
      <c r="G652" s="24"/>
      <c r="H652" s="24"/>
      <c r="I652" s="24"/>
      <c r="J652" s="5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2.75" x14ac:dyDescent="0.2">
      <c r="A653" s="24"/>
      <c r="B653" s="24"/>
      <c r="C653" s="24"/>
      <c r="D653" s="24"/>
      <c r="E653" s="24"/>
      <c r="F653" s="24"/>
      <c r="G653" s="24"/>
      <c r="H653" s="24"/>
      <c r="I653" s="24"/>
      <c r="J653" s="5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2.75" x14ac:dyDescent="0.2">
      <c r="A654" s="24"/>
      <c r="B654" s="24"/>
      <c r="C654" s="24"/>
      <c r="D654" s="24"/>
      <c r="E654" s="24"/>
      <c r="F654" s="24"/>
      <c r="G654" s="24"/>
      <c r="H654" s="24"/>
      <c r="I654" s="24"/>
      <c r="J654" s="5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2.75" x14ac:dyDescent="0.2">
      <c r="A655" s="24"/>
      <c r="B655" s="24"/>
      <c r="C655" s="24"/>
      <c r="D655" s="24"/>
      <c r="E655" s="24"/>
      <c r="F655" s="24"/>
      <c r="G655" s="24"/>
      <c r="H655" s="24"/>
      <c r="I655" s="24"/>
      <c r="J655" s="5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2.75" x14ac:dyDescent="0.2">
      <c r="A656" s="24"/>
      <c r="B656" s="24"/>
      <c r="C656" s="24"/>
      <c r="D656" s="24"/>
      <c r="E656" s="24"/>
      <c r="F656" s="24"/>
      <c r="G656" s="24"/>
      <c r="H656" s="24"/>
      <c r="I656" s="24"/>
      <c r="J656" s="5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2.75" x14ac:dyDescent="0.2">
      <c r="A657" s="24"/>
      <c r="B657" s="24"/>
      <c r="C657" s="24"/>
      <c r="D657" s="24"/>
      <c r="E657" s="24"/>
      <c r="F657" s="24"/>
      <c r="G657" s="24"/>
      <c r="H657" s="24"/>
      <c r="I657" s="24"/>
      <c r="J657" s="5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2.75" x14ac:dyDescent="0.2">
      <c r="A658" s="24"/>
      <c r="B658" s="24"/>
      <c r="C658" s="24"/>
      <c r="D658" s="24"/>
      <c r="E658" s="24"/>
      <c r="F658" s="24"/>
      <c r="G658" s="24"/>
      <c r="H658" s="24"/>
      <c r="I658" s="24"/>
      <c r="J658" s="5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2.75" x14ac:dyDescent="0.2">
      <c r="A659" s="24"/>
      <c r="B659" s="24"/>
      <c r="C659" s="24"/>
      <c r="D659" s="24"/>
      <c r="E659" s="24"/>
      <c r="F659" s="24"/>
      <c r="G659" s="24"/>
      <c r="H659" s="24"/>
      <c r="I659" s="24"/>
      <c r="J659" s="5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2.75" x14ac:dyDescent="0.2">
      <c r="A660" s="24"/>
      <c r="B660" s="24"/>
      <c r="C660" s="24"/>
      <c r="D660" s="24"/>
      <c r="E660" s="24"/>
      <c r="F660" s="24"/>
      <c r="G660" s="24"/>
      <c r="H660" s="24"/>
      <c r="I660" s="24"/>
      <c r="J660" s="5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2.75" x14ac:dyDescent="0.2">
      <c r="A661" s="24"/>
      <c r="B661" s="24"/>
      <c r="C661" s="24"/>
      <c r="D661" s="24"/>
      <c r="E661" s="24"/>
      <c r="F661" s="24"/>
      <c r="G661" s="24"/>
      <c r="H661" s="24"/>
      <c r="I661" s="24"/>
      <c r="J661" s="5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2.75" x14ac:dyDescent="0.2">
      <c r="A662" s="24"/>
      <c r="B662" s="24"/>
      <c r="C662" s="24"/>
      <c r="D662" s="24"/>
      <c r="E662" s="24"/>
      <c r="F662" s="24"/>
      <c r="G662" s="24"/>
      <c r="H662" s="24"/>
      <c r="I662" s="24"/>
      <c r="J662" s="5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2.75" x14ac:dyDescent="0.2">
      <c r="A663" s="24"/>
      <c r="B663" s="24"/>
      <c r="C663" s="24"/>
      <c r="D663" s="24"/>
      <c r="E663" s="24"/>
      <c r="F663" s="24"/>
      <c r="G663" s="24"/>
      <c r="H663" s="24"/>
      <c r="I663" s="24"/>
      <c r="J663" s="5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2.75" x14ac:dyDescent="0.2">
      <c r="A664" s="24"/>
      <c r="B664" s="24"/>
      <c r="C664" s="24"/>
      <c r="D664" s="24"/>
      <c r="E664" s="24"/>
      <c r="F664" s="24"/>
      <c r="G664" s="24"/>
      <c r="H664" s="24"/>
      <c r="I664" s="24"/>
      <c r="J664" s="5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2.75" x14ac:dyDescent="0.2">
      <c r="A665" s="24"/>
      <c r="B665" s="24"/>
      <c r="C665" s="24"/>
      <c r="D665" s="24"/>
      <c r="E665" s="24"/>
      <c r="F665" s="24"/>
      <c r="G665" s="24"/>
      <c r="H665" s="24"/>
      <c r="I665" s="24"/>
      <c r="J665" s="5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2.75" x14ac:dyDescent="0.2">
      <c r="A666" s="24"/>
      <c r="B666" s="24"/>
      <c r="C666" s="24"/>
      <c r="D666" s="24"/>
      <c r="E666" s="24"/>
      <c r="F666" s="24"/>
      <c r="G666" s="24"/>
      <c r="H666" s="24"/>
      <c r="I666" s="24"/>
      <c r="J666" s="5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2.75" x14ac:dyDescent="0.2">
      <c r="A667" s="24"/>
      <c r="B667" s="24"/>
      <c r="C667" s="24"/>
      <c r="D667" s="24"/>
      <c r="E667" s="24"/>
      <c r="F667" s="24"/>
      <c r="G667" s="24"/>
      <c r="H667" s="24"/>
      <c r="I667" s="24"/>
      <c r="J667" s="5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2.75" x14ac:dyDescent="0.2">
      <c r="A668" s="24"/>
      <c r="B668" s="24"/>
      <c r="C668" s="24"/>
      <c r="D668" s="24"/>
      <c r="E668" s="24"/>
      <c r="F668" s="24"/>
      <c r="G668" s="24"/>
      <c r="H668" s="24"/>
      <c r="I668" s="24"/>
      <c r="J668" s="5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2.75" x14ac:dyDescent="0.2">
      <c r="A669" s="24"/>
      <c r="B669" s="24"/>
      <c r="C669" s="24"/>
      <c r="D669" s="24"/>
      <c r="E669" s="24"/>
      <c r="F669" s="24"/>
      <c r="G669" s="24"/>
      <c r="H669" s="24"/>
      <c r="I669" s="24"/>
      <c r="J669" s="5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2.75" x14ac:dyDescent="0.2">
      <c r="A670" s="24"/>
      <c r="B670" s="24"/>
      <c r="C670" s="24"/>
      <c r="D670" s="24"/>
      <c r="E670" s="24"/>
      <c r="F670" s="24"/>
      <c r="G670" s="24"/>
      <c r="H670" s="24"/>
      <c r="I670" s="24"/>
      <c r="J670" s="5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2.75" x14ac:dyDescent="0.2">
      <c r="A671" s="24"/>
      <c r="B671" s="24"/>
      <c r="C671" s="24"/>
      <c r="D671" s="24"/>
      <c r="E671" s="24"/>
      <c r="F671" s="24"/>
      <c r="G671" s="24"/>
      <c r="H671" s="24"/>
      <c r="I671" s="24"/>
      <c r="J671" s="5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2.75" x14ac:dyDescent="0.2">
      <c r="A672" s="24"/>
      <c r="B672" s="24"/>
      <c r="C672" s="24"/>
      <c r="D672" s="24"/>
      <c r="E672" s="24"/>
      <c r="F672" s="24"/>
      <c r="G672" s="24"/>
      <c r="H672" s="24"/>
      <c r="I672" s="24"/>
      <c r="J672" s="5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2.75" x14ac:dyDescent="0.2">
      <c r="A673" s="24"/>
      <c r="B673" s="24"/>
      <c r="C673" s="24"/>
      <c r="D673" s="24"/>
      <c r="E673" s="24"/>
      <c r="F673" s="24"/>
      <c r="G673" s="24"/>
      <c r="H673" s="24"/>
      <c r="I673" s="24"/>
      <c r="J673" s="5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2.75" x14ac:dyDescent="0.2">
      <c r="A674" s="24"/>
      <c r="B674" s="24"/>
      <c r="C674" s="24"/>
      <c r="D674" s="24"/>
      <c r="E674" s="24"/>
      <c r="F674" s="24"/>
      <c r="G674" s="24"/>
      <c r="H674" s="24"/>
      <c r="I674" s="24"/>
      <c r="J674" s="5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2.75" x14ac:dyDescent="0.2">
      <c r="A675" s="24"/>
      <c r="B675" s="24"/>
      <c r="C675" s="24"/>
      <c r="D675" s="24"/>
      <c r="E675" s="24"/>
      <c r="F675" s="24"/>
      <c r="G675" s="24"/>
      <c r="H675" s="24"/>
      <c r="I675" s="24"/>
      <c r="J675" s="5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2.75" x14ac:dyDescent="0.2">
      <c r="A676" s="24"/>
      <c r="B676" s="24"/>
      <c r="C676" s="24"/>
      <c r="D676" s="24"/>
      <c r="E676" s="24"/>
      <c r="F676" s="24"/>
      <c r="G676" s="24"/>
      <c r="H676" s="24"/>
      <c r="I676" s="24"/>
      <c r="J676" s="5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2.75" x14ac:dyDescent="0.2">
      <c r="A677" s="24"/>
      <c r="B677" s="24"/>
      <c r="C677" s="24"/>
      <c r="D677" s="24"/>
      <c r="E677" s="24"/>
      <c r="F677" s="24"/>
      <c r="G677" s="24"/>
      <c r="H677" s="24"/>
      <c r="I677" s="24"/>
      <c r="J677" s="5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2.75" x14ac:dyDescent="0.2">
      <c r="A678" s="24"/>
      <c r="B678" s="24"/>
      <c r="C678" s="24"/>
      <c r="D678" s="24"/>
      <c r="E678" s="24"/>
      <c r="F678" s="24"/>
      <c r="G678" s="24"/>
      <c r="H678" s="24"/>
      <c r="I678" s="24"/>
      <c r="J678" s="5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2.75" x14ac:dyDescent="0.2">
      <c r="A679" s="24"/>
      <c r="B679" s="24"/>
      <c r="C679" s="24"/>
      <c r="D679" s="24"/>
      <c r="E679" s="24"/>
      <c r="F679" s="24"/>
      <c r="G679" s="24"/>
      <c r="H679" s="24"/>
      <c r="I679" s="24"/>
      <c r="J679" s="5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2.75" x14ac:dyDescent="0.2">
      <c r="A680" s="24"/>
      <c r="B680" s="24"/>
      <c r="C680" s="24"/>
      <c r="D680" s="24"/>
      <c r="E680" s="24"/>
      <c r="F680" s="24"/>
      <c r="G680" s="24"/>
      <c r="H680" s="24"/>
      <c r="I680" s="24"/>
      <c r="J680" s="5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2.75" x14ac:dyDescent="0.2">
      <c r="A681" s="24"/>
      <c r="B681" s="24"/>
      <c r="C681" s="24"/>
      <c r="D681" s="24"/>
      <c r="E681" s="24"/>
      <c r="F681" s="24"/>
      <c r="G681" s="24"/>
      <c r="H681" s="24"/>
      <c r="I681" s="24"/>
      <c r="J681" s="5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2.75" x14ac:dyDescent="0.2">
      <c r="A682" s="24"/>
      <c r="B682" s="24"/>
      <c r="C682" s="24"/>
      <c r="D682" s="24"/>
      <c r="E682" s="24"/>
      <c r="F682" s="24"/>
      <c r="G682" s="24"/>
      <c r="H682" s="24"/>
      <c r="I682" s="24"/>
      <c r="J682" s="5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2.75" x14ac:dyDescent="0.2">
      <c r="A683" s="24"/>
      <c r="B683" s="24"/>
      <c r="C683" s="24"/>
      <c r="D683" s="24"/>
      <c r="E683" s="24"/>
      <c r="F683" s="24"/>
      <c r="G683" s="24"/>
      <c r="H683" s="24"/>
      <c r="I683" s="24"/>
      <c r="J683" s="5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2.75" x14ac:dyDescent="0.2">
      <c r="A684" s="24"/>
      <c r="B684" s="24"/>
      <c r="C684" s="24"/>
      <c r="D684" s="24"/>
      <c r="E684" s="24"/>
      <c r="F684" s="24"/>
      <c r="G684" s="24"/>
      <c r="H684" s="24"/>
      <c r="I684" s="24"/>
      <c r="J684" s="5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2.75" x14ac:dyDescent="0.2">
      <c r="A685" s="24"/>
      <c r="B685" s="24"/>
      <c r="C685" s="24"/>
      <c r="D685" s="24"/>
      <c r="E685" s="24"/>
      <c r="F685" s="24"/>
      <c r="G685" s="24"/>
      <c r="H685" s="24"/>
      <c r="I685" s="24"/>
      <c r="J685" s="5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2.75" x14ac:dyDescent="0.2">
      <c r="A686" s="24"/>
      <c r="B686" s="24"/>
      <c r="C686" s="24"/>
      <c r="D686" s="24"/>
      <c r="E686" s="24"/>
      <c r="F686" s="24"/>
      <c r="G686" s="24"/>
      <c r="H686" s="24"/>
      <c r="I686" s="24"/>
      <c r="J686" s="5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2.75" x14ac:dyDescent="0.2">
      <c r="A687" s="24"/>
      <c r="B687" s="24"/>
      <c r="C687" s="24"/>
      <c r="D687" s="24"/>
      <c r="E687" s="24"/>
      <c r="F687" s="24"/>
      <c r="G687" s="24"/>
      <c r="H687" s="24"/>
      <c r="I687" s="24"/>
      <c r="J687" s="5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2.75" x14ac:dyDescent="0.2">
      <c r="A688" s="24"/>
      <c r="B688" s="24"/>
      <c r="C688" s="24"/>
      <c r="D688" s="24"/>
      <c r="E688" s="24"/>
      <c r="F688" s="24"/>
      <c r="G688" s="24"/>
      <c r="H688" s="24"/>
      <c r="I688" s="24"/>
      <c r="J688" s="5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2.75" x14ac:dyDescent="0.2">
      <c r="A689" s="24"/>
      <c r="B689" s="24"/>
      <c r="C689" s="24"/>
      <c r="D689" s="24"/>
      <c r="E689" s="24"/>
      <c r="F689" s="24"/>
      <c r="G689" s="24"/>
      <c r="H689" s="24"/>
      <c r="I689" s="24"/>
      <c r="J689" s="5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2.75" x14ac:dyDescent="0.2">
      <c r="A690" s="24"/>
      <c r="B690" s="24"/>
      <c r="C690" s="24"/>
      <c r="D690" s="24"/>
      <c r="E690" s="24"/>
      <c r="F690" s="24"/>
      <c r="G690" s="24"/>
      <c r="H690" s="24"/>
      <c r="I690" s="24"/>
      <c r="J690" s="5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2.75" x14ac:dyDescent="0.2">
      <c r="A691" s="24"/>
      <c r="B691" s="24"/>
      <c r="C691" s="24"/>
      <c r="D691" s="24"/>
      <c r="E691" s="24"/>
      <c r="F691" s="24"/>
      <c r="G691" s="24"/>
      <c r="H691" s="24"/>
      <c r="I691" s="24"/>
      <c r="J691" s="5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2.75" x14ac:dyDescent="0.2">
      <c r="A692" s="24"/>
      <c r="B692" s="24"/>
      <c r="C692" s="24"/>
      <c r="D692" s="24"/>
      <c r="E692" s="24"/>
      <c r="F692" s="24"/>
      <c r="G692" s="24"/>
      <c r="H692" s="24"/>
      <c r="I692" s="24"/>
      <c r="J692" s="5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2.75" x14ac:dyDescent="0.2">
      <c r="A693" s="24"/>
      <c r="B693" s="24"/>
      <c r="C693" s="24"/>
      <c r="D693" s="24"/>
      <c r="E693" s="24"/>
      <c r="F693" s="24"/>
      <c r="G693" s="24"/>
      <c r="H693" s="24"/>
      <c r="I693" s="24"/>
      <c r="J693" s="5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2.75" x14ac:dyDescent="0.2">
      <c r="A694" s="24"/>
      <c r="B694" s="24"/>
      <c r="C694" s="24"/>
      <c r="D694" s="24"/>
      <c r="E694" s="24"/>
      <c r="F694" s="24"/>
      <c r="G694" s="24"/>
      <c r="H694" s="24"/>
      <c r="I694" s="24"/>
      <c r="J694" s="5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2.75" x14ac:dyDescent="0.2">
      <c r="A695" s="24"/>
      <c r="B695" s="24"/>
      <c r="C695" s="24"/>
      <c r="D695" s="24"/>
      <c r="E695" s="24"/>
      <c r="F695" s="24"/>
      <c r="G695" s="24"/>
      <c r="H695" s="24"/>
      <c r="I695" s="24"/>
      <c r="J695" s="5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2.75" x14ac:dyDescent="0.2">
      <c r="A696" s="24"/>
      <c r="B696" s="24"/>
      <c r="C696" s="24"/>
      <c r="D696" s="24"/>
      <c r="E696" s="24"/>
      <c r="F696" s="24"/>
      <c r="G696" s="24"/>
      <c r="H696" s="24"/>
      <c r="I696" s="24"/>
      <c r="J696" s="5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2.75" x14ac:dyDescent="0.2">
      <c r="A697" s="24"/>
      <c r="B697" s="24"/>
      <c r="C697" s="24"/>
      <c r="D697" s="24"/>
      <c r="E697" s="24"/>
      <c r="F697" s="24"/>
      <c r="G697" s="24"/>
      <c r="H697" s="24"/>
      <c r="I697" s="24"/>
      <c r="J697" s="5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2.75" x14ac:dyDescent="0.2">
      <c r="A698" s="24"/>
      <c r="B698" s="24"/>
      <c r="C698" s="24"/>
      <c r="D698" s="24"/>
      <c r="E698" s="24"/>
      <c r="F698" s="24"/>
      <c r="G698" s="24"/>
      <c r="H698" s="24"/>
      <c r="I698" s="24"/>
      <c r="J698" s="5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2.75" x14ac:dyDescent="0.2">
      <c r="A699" s="24"/>
      <c r="B699" s="24"/>
      <c r="C699" s="24"/>
      <c r="D699" s="24"/>
      <c r="E699" s="24"/>
      <c r="F699" s="24"/>
      <c r="G699" s="24"/>
      <c r="H699" s="24"/>
      <c r="I699" s="24"/>
      <c r="J699" s="5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2.75" x14ac:dyDescent="0.2">
      <c r="A700" s="24"/>
      <c r="B700" s="24"/>
      <c r="C700" s="24"/>
      <c r="D700" s="24"/>
      <c r="E700" s="24"/>
      <c r="F700" s="24"/>
      <c r="G700" s="24"/>
      <c r="H700" s="24"/>
      <c r="I700" s="24"/>
      <c r="J700" s="5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2.75" x14ac:dyDescent="0.2">
      <c r="A701" s="24"/>
      <c r="B701" s="24"/>
      <c r="C701" s="24"/>
      <c r="D701" s="24"/>
      <c r="E701" s="24"/>
      <c r="F701" s="24"/>
      <c r="G701" s="24"/>
      <c r="H701" s="24"/>
      <c r="I701" s="24"/>
      <c r="J701" s="5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2.75" x14ac:dyDescent="0.2">
      <c r="A702" s="24"/>
      <c r="B702" s="24"/>
      <c r="C702" s="24"/>
      <c r="D702" s="24"/>
      <c r="E702" s="24"/>
      <c r="F702" s="24"/>
      <c r="G702" s="24"/>
      <c r="H702" s="24"/>
      <c r="I702" s="24"/>
      <c r="J702" s="5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2.75" x14ac:dyDescent="0.2">
      <c r="A703" s="24"/>
      <c r="B703" s="24"/>
      <c r="C703" s="24"/>
      <c r="D703" s="24"/>
      <c r="E703" s="24"/>
      <c r="F703" s="24"/>
      <c r="G703" s="24"/>
      <c r="H703" s="24"/>
      <c r="I703" s="24"/>
      <c r="J703" s="5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2.75" x14ac:dyDescent="0.2">
      <c r="A704" s="24"/>
      <c r="B704" s="24"/>
      <c r="C704" s="24"/>
      <c r="D704" s="24"/>
      <c r="E704" s="24"/>
      <c r="F704" s="24"/>
      <c r="G704" s="24"/>
      <c r="H704" s="24"/>
      <c r="I704" s="24"/>
      <c r="J704" s="5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2.75" x14ac:dyDescent="0.2">
      <c r="A705" s="24"/>
      <c r="B705" s="24"/>
      <c r="C705" s="24"/>
      <c r="D705" s="24"/>
      <c r="E705" s="24"/>
      <c r="F705" s="24"/>
      <c r="G705" s="24"/>
      <c r="H705" s="24"/>
      <c r="I705" s="24"/>
      <c r="J705" s="5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2.75" x14ac:dyDescent="0.2">
      <c r="A706" s="24"/>
      <c r="B706" s="24"/>
      <c r="C706" s="24"/>
      <c r="D706" s="24"/>
      <c r="E706" s="24"/>
      <c r="F706" s="24"/>
      <c r="G706" s="24"/>
      <c r="H706" s="24"/>
      <c r="I706" s="24"/>
      <c r="J706" s="5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2.75" x14ac:dyDescent="0.2">
      <c r="A707" s="24"/>
      <c r="B707" s="24"/>
      <c r="C707" s="24"/>
      <c r="D707" s="24"/>
      <c r="E707" s="24"/>
      <c r="F707" s="24"/>
      <c r="G707" s="24"/>
      <c r="H707" s="24"/>
      <c r="I707" s="24"/>
      <c r="J707" s="5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2.75" x14ac:dyDescent="0.2">
      <c r="A708" s="24"/>
      <c r="B708" s="24"/>
      <c r="C708" s="24"/>
      <c r="D708" s="24"/>
      <c r="E708" s="24"/>
      <c r="F708" s="24"/>
      <c r="G708" s="24"/>
      <c r="H708" s="24"/>
      <c r="I708" s="24"/>
      <c r="J708" s="5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2.75" x14ac:dyDescent="0.2">
      <c r="A709" s="24"/>
      <c r="B709" s="24"/>
      <c r="C709" s="24"/>
      <c r="D709" s="24"/>
      <c r="E709" s="24"/>
      <c r="F709" s="24"/>
      <c r="G709" s="24"/>
      <c r="H709" s="24"/>
      <c r="I709" s="24"/>
      <c r="J709" s="5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2.75" x14ac:dyDescent="0.2">
      <c r="A710" s="24"/>
      <c r="B710" s="24"/>
      <c r="C710" s="24"/>
      <c r="D710" s="24"/>
      <c r="E710" s="24"/>
      <c r="F710" s="24"/>
      <c r="G710" s="24"/>
      <c r="H710" s="24"/>
      <c r="I710" s="24"/>
      <c r="J710" s="5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2.75" x14ac:dyDescent="0.2">
      <c r="A711" s="24"/>
      <c r="B711" s="24"/>
      <c r="C711" s="24"/>
      <c r="D711" s="24"/>
      <c r="E711" s="24"/>
      <c r="F711" s="24"/>
      <c r="G711" s="24"/>
      <c r="H711" s="24"/>
      <c r="I711" s="24"/>
      <c r="J711" s="5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2.75" x14ac:dyDescent="0.2">
      <c r="A712" s="24"/>
      <c r="B712" s="24"/>
      <c r="C712" s="24"/>
      <c r="D712" s="24"/>
      <c r="E712" s="24"/>
      <c r="F712" s="24"/>
      <c r="G712" s="24"/>
      <c r="H712" s="24"/>
      <c r="I712" s="24"/>
      <c r="J712" s="5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2.75" x14ac:dyDescent="0.2">
      <c r="A713" s="24"/>
      <c r="B713" s="24"/>
      <c r="C713" s="24"/>
      <c r="D713" s="24"/>
      <c r="E713" s="24"/>
      <c r="F713" s="24"/>
      <c r="G713" s="24"/>
      <c r="H713" s="24"/>
      <c r="I713" s="24"/>
      <c r="J713" s="5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2.75" x14ac:dyDescent="0.2">
      <c r="A714" s="24"/>
      <c r="B714" s="24"/>
      <c r="C714" s="24"/>
      <c r="D714" s="24"/>
      <c r="E714" s="24"/>
      <c r="F714" s="24"/>
      <c r="G714" s="24"/>
      <c r="H714" s="24"/>
      <c r="I714" s="24"/>
      <c r="J714" s="5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2.75" x14ac:dyDescent="0.2">
      <c r="A715" s="24"/>
      <c r="B715" s="24"/>
      <c r="C715" s="24"/>
      <c r="D715" s="24"/>
      <c r="E715" s="24"/>
      <c r="F715" s="24"/>
      <c r="G715" s="24"/>
      <c r="H715" s="24"/>
      <c r="I715" s="24"/>
      <c r="J715" s="5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2.75" x14ac:dyDescent="0.2">
      <c r="A716" s="24"/>
      <c r="B716" s="24"/>
      <c r="C716" s="24"/>
      <c r="D716" s="24"/>
      <c r="E716" s="24"/>
      <c r="F716" s="24"/>
      <c r="G716" s="24"/>
      <c r="H716" s="24"/>
      <c r="I716" s="24"/>
      <c r="J716" s="5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2.75" x14ac:dyDescent="0.2">
      <c r="A717" s="24"/>
      <c r="B717" s="24"/>
      <c r="C717" s="24"/>
      <c r="D717" s="24"/>
      <c r="E717" s="24"/>
      <c r="F717" s="24"/>
      <c r="G717" s="24"/>
      <c r="H717" s="24"/>
      <c r="I717" s="24"/>
      <c r="J717" s="5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2.75" x14ac:dyDescent="0.2">
      <c r="A718" s="24"/>
      <c r="B718" s="24"/>
      <c r="C718" s="24"/>
      <c r="D718" s="24"/>
      <c r="E718" s="24"/>
      <c r="F718" s="24"/>
      <c r="G718" s="24"/>
      <c r="H718" s="24"/>
      <c r="I718" s="24"/>
      <c r="J718" s="5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2.75" x14ac:dyDescent="0.2">
      <c r="A719" s="24"/>
      <c r="B719" s="24"/>
      <c r="C719" s="24"/>
      <c r="D719" s="24"/>
      <c r="E719" s="24"/>
      <c r="F719" s="24"/>
      <c r="G719" s="24"/>
      <c r="H719" s="24"/>
      <c r="I719" s="24"/>
      <c r="J719" s="5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2.75" x14ac:dyDescent="0.2">
      <c r="A720" s="24"/>
      <c r="B720" s="24"/>
      <c r="C720" s="24"/>
      <c r="D720" s="24"/>
      <c r="E720" s="24"/>
      <c r="F720" s="24"/>
      <c r="G720" s="24"/>
      <c r="H720" s="24"/>
      <c r="I720" s="24"/>
      <c r="J720" s="5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2.75" x14ac:dyDescent="0.2">
      <c r="A721" s="24"/>
      <c r="B721" s="24"/>
      <c r="C721" s="24"/>
      <c r="D721" s="24"/>
      <c r="E721" s="24"/>
      <c r="F721" s="24"/>
      <c r="G721" s="24"/>
      <c r="H721" s="24"/>
      <c r="I721" s="24"/>
      <c r="J721" s="5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2.75" x14ac:dyDescent="0.2">
      <c r="A722" s="24"/>
      <c r="B722" s="24"/>
      <c r="C722" s="24"/>
      <c r="D722" s="24"/>
      <c r="E722" s="24"/>
      <c r="F722" s="24"/>
      <c r="G722" s="24"/>
      <c r="H722" s="24"/>
      <c r="I722" s="24"/>
      <c r="J722" s="5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2.75" x14ac:dyDescent="0.2">
      <c r="A723" s="24"/>
      <c r="B723" s="24"/>
      <c r="C723" s="24"/>
      <c r="D723" s="24"/>
      <c r="E723" s="24"/>
      <c r="F723" s="24"/>
      <c r="G723" s="24"/>
      <c r="H723" s="24"/>
      <c r="I723" s="24"/>
      <c r="J723" s="5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2.75" x14ac:dyDescent="0.2">
      <c r="A724" s="24"/>
      <c r="B724" s="24"/>
      <c r="C724" s="24"/>
      <c r="D724" s="24"/>
      <c r="E724" s="24"/>
      <c r="F724" s="24"/>
      <c r="G724" s="24"/>
      <c r="H724" s="24"/>
      <c r="I724" s="24"/>
      <c r="J724" s="5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2.75" x14ac:dyDescent="0.2">
      <c r="A725" s="24"/>
      <c r="B725" s="24"/>
      <c r="C725" s="24"/>
      <c r="D725" s="24"/>
      <c r="E725" s="24"/>
      <c r="F725" s="24"/>
      <c r="G725" s="24"/>
      <c r="H725" s="24"/>
      <c r="I725" s="24"/>
      <c r="J725" s="5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2.75" x14ac:dyDescent="0.2">
      <c r="A726" s="24"/>
      <c r="B726" s="24"/>
      <c r="C726" s="24"/>
      <c r="D726" s="24"/>
      <c r="E726" s="24"/>
      <c r="F726" s="24"/>
      <c r="G726" s="24"/>
      <c r="H726" s="24"/>
      <c r="I726" s="24"/>
      <c r="J726" s="5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2.75" x14ac:dyDescent="0.2">
      <c r="A727" s="24"/>
      <c r="B727" s="24"/>
      <c r="C727" s="24"/>
      <c r="D727" s="24"/>
      <c r="E727" s="24"/>
      <c r="F727" s="24"/>
      <c r="G727" s="24"/>
      <c r="H727" s="24"/>
      <c r="I727" s="24"/>
      <c r="J727" s="5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2.75" x14ac:dyDescent="0.2">
      <c r="A728" s="24"/>
      <c r="B728" s="24"/>
      <c r="C728" s="24"/>
      <c r="D728" s="24"/>
      <c r="E728" s="24"/>
      <c r="F728" s="24"/>
      <c r="G728" s="24"/>
      <c r="H728" s="24"/>
      <c r="I728" s="24"/>
      <c r="J728" s="5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2.75" x14ac:dyDescent="0.2">
      <c r="A729" s="24"/>
      <c r="B729" s="24"/>
      <c r="C729" s="24"/>
      <c r="D729" s="24"/>
      <c r="E729" s="24"/>
      <c r="F729" s="24"/>
      <c r="G729" s="24"/>
      <c r="H729" s="24"/>
      <c r="I729" s="24"/>
      <c r="J729" s="5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2.75" x14ac:dyDescent="0.2">
      <c r="A730" s="24"/>
      <c r="B730" s="24"/>
      <c r="C730" s="24"/>
      <c r="D730" s="24"/>
      <c r="E730" s="24"/>
      <c r="F730" s="24"/>
      <c r="G730" s="24"/>
      <c r="H730" s="24"/>
      <c r="I730" s="24"/>
      <c r="J730" s="5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2.75" x14ac:dyDescent="0.2">
      <c r="A731" s="24"/>
      <c r="B731" s="24"/>
      <c r="C731" s="24"/>
      <c r="D731" s="24"/>
      <c r="E731" s="24"/>
      <c r="F731" s="24"/>
      <c r="G731" s="24"/>
      <c r="H731" s="24"/>
      <c r="I731" s="24"/>
      <c r="J731" s="5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2.75" x14ac:dyDescent="0.2">
      <c r="A732" s="24"/>
      <c r="B732" s="24"/>
      <c r="C732" s="24"/>
      <c r="D732" s="24"/>
      <c r="E732" s="24"/>
      <c r="F732" s="24"/>
      <c r="G732" s="24"/>
      <c r="H732" s="24"/>
      <c r="I732" s="24"/>
      <c r="J732" s="5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2.75" x14ac:dyDescent="0.2">
      <c r="A733" s="24"/>
      <c r="B733" s="24"/>
      <c r="C733" s="24"/>
      <c r="D733" s="24"/>
      <c r="E733" s="24"/>
      <c r="F733" s="24"/>
      <c r="G733" s="24"/>
      <c r="H733" s="24"/>
      <c r="I733" s="24"/>
      <c r="J733" s="5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2.75" x14ac:dyDescent="0.2">
      <c r="A734" s="24"/>
      <c r="B734" s="24"/>
      <c r="C734" s="24"/>
      <c r="D734" s="24"/>
      <c r="E734" s="24"/>
      <c r="F734" s="24"/>
      <c r="G734" s="24"/>
      <c r="H734" s="24"/>
      <c r="I734" s="24"/>
      <c r="J734" s="5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2.75" x14ac:dyDescent="0.2">
      <c r="A735" s="24"/>
      <c r="B735" s="24"/>
      <c r="C735" s="24"/>
      <c r="D735" s="24"/>
      <c r="E735" s="24"/>
      <c r="F735" s="24"/>
      <c r="G735" s="24"/>
      <c r="H735" s="24"/>
      <c r="I735" s="24"/>
      <c r="J735" s="5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2.75" x14ac:dyDescent="0.2">
      <c r="A736" s="24"/>
      <c r="B736" s="24"/>
      <c r="C736" s="24"/>
      <c r="D736" s="24"/>
      <c r="E736" s="24"/>
      <c r="F736" s="24"/>
      <c r="G736" s="24"/>
      <c r="H736" s="24"/>
      <c r="I736" s="24"/>
      <c r="J736" s="5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2.75" x14ac:dyDescent="0.2">
      <c r="A737" s="24"/>
      <c r="B737" s="24"/>
      <c r="C737" s="24"/>
      <c r="D737" s="24"/>
      <c r="E737" s="24"/>
      <c r="F737" s="24"/>
      <c r="G737" s="24"/>
      <c r="H737" s="24"/>
      <c r="I737" s="24"/>
      <c r="J737" s="5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2.75" x14ac:dyDescent="0.2">
      <c r="A738" s="24"/>
      <c r="B738" s="24"/>
      <c r="C738" s="24"/>
      <c r="D738" s="24"/>
      <c r="E738" s="24"/>
      <c r="F738" s="24"/>
      <c r="G738" s="24"/>
      <c r="H738" s="24"/>
      <c r="I738" s="24"/>
      <c r="J738" s="5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2.75" x14ac:dyDescent="0.2">
      <c r="A739" s="24"/>
      <c r="B739" s="24"/>
      <c r="C739" s="24"/>
      <c r="D739" s="24"/>
      <c r="E739" s="24"/>
      <c r="F739" s="24"/>
      <c r="G739" s="24"/>
      <c r="H739" s="24"/>
      <c r="I739" s="24"/>
      <c r="J739" s="5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2.75" x14ac:dyDescent="0.2">
      <c r="A740" s="24"/>
      <c r="B740" s="24"/>
      <c r="C740" s="24"/>
      <c r="D740" s="24"/>
      <c r="E740" s="24"/>
      <c r="F740" s="24"/>
      <c r="G740" s="24"/>
      <c r="H740" s="24"/>
      <c r="I740" s="24"/>
      <c r="J740" s="5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2.75" x14ac:dyDescent="0.2">
      <c r="A741" s="24"/>
      <c r="B741" s="24"/>
      <c r="C741" s="24"/>
      <c r="D741" s="24"/>
      <c r="E741" s="24"/>
      <c r="F741" s="24"/>
      <c r="G741" s="24"/>
      <c r="H741" s="24"/>
      <c r="I741" s="24"/>
      <c r="J741" s="5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2.75" x14ac:dyDescent="0.2">
      <c r="A742" s="24"/>
      <c r="B742" s="24"/>
      <c r="C742" s="24"/>
      <c r="D742" s="24"/>
      <c r="E742" s="24"/>
      <c r="F742" s="24"/>
      <c r="G742" s="24"/>
      <c r="H742" s="24"/>
      <c r="I742" s="24"/>
      <c r="J742" s="5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2.75" x14ac:dyDescent="0.2">
      <c r="A743" s="24"/>
      <c r="B743" s="24"/>
      <c r="C743" s="24"/>
      <c r="D743" s="24"/>
      <c r="E743" s="24"/>
      <c r="F743" s="24"/>
      <c r="G743" s="24"/>
      <c r="H743" s="24"/>
      <c r="I743" s="24"/>
      <c r="J743" s="5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2.75" x14ac:dyDescent="0.2">
      <c r="A744" s="24"/>
      <c r="B744" s="24"/>
      <c r="C744" s="24"/>
      <c r="D744" s="24"/>
      <c r="E744" s="24"/>
      <c r="F744" s="24"/>
      <c r="G744" s="24"/>
      <c r="H744" s="24"/>
      <c r="I744" s="24"/>
      <c r="J744" s="5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2.75" x14ac:dyDescent="0.2">
      <c r="A745" s="24"/>
      <c r="B745" s="24"/>
      <c r="C745" s="24"/>
      <c r="D745" s="24"/>
      <c r="E745" s="24"/>
      <c r="F745" s="24"/>
      <c r="G745" s="24"/>
      <c r="H745" s="24"/>
      <c r="I745" s="24"/>
      <c r="J745" s="5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2.75" x14ac:dyDescent="0.2">
      <c r="A746" s="24"/>
      <c r="B746" s="24"/>
      <c r="C746" s="24"/>
      <c r="D746" s="24"/>
      <c r="E746" s="24"/>
      <c r="F746" s="24"/>
      <c r="G746" s="24"/>
      <c r="H746" s="24"/>
      <c r="I746" s="24"/>
      <c r="J746" s="5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2.75" x14ac:dyDescent="0.2">
      <c r="A747" s="24"/>
      <c r="B747" s="24"/>
      <c r="C747" s="24"/>
      <c r="D747" s="24"/>
      <c r="E747" s="24"/>
      <c r="F747" s="24"/>
      <c r="G747" s="24"/>
      <c r="H747" s="24"/>
      <c r="I747" s="24"/>
      <c r="J747" s="5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2.75" x14ac:dyDescent="0.2">
      <c r="A748" s="24"/>
      <c r="B748" s="24"/>
      <c r="C748" s="24"/>
      <c r="D748" s="24"/>
      <c r="E748" s="24"/>
      <c r="F748" s="24"/>
      <c r="G748" s="24"/>
      <c r="H748" s="24"/>
      <c r="I748" s="24"/>
      <c r="J748" s="5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2.75" x14ac:dyDescent="0.2">
      <c r="A749" s="24"/>
      <c r="B749" s="24"/>
      <c r="C749" s="24"/>
      <c r="D749" s="24"/>
      <c r="E749" s="24"/>
      <c r="F749" s="24"/>
      <c r="G749" s="24"/>
      <c r="H749" s="24"/>
      <c r="I749" s="24"/>
      <c r="J749" s="5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2.75" x14ac:dyDescent="0.2">
      <c r="A750" s="24"/>
      <c r="B750" s="24"/>
      <c r="C750" s="24"/>
      <c r="D750" s="24"/>
      <c r="E750" s="24"/>
      <c r="F750" s="24"/>
      <c r="G750" s="24"/>
      <c r="H750" s="24"/>
      <c r="I750" s="24"/>
      <c r="J750" s="55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2.75" x14ac:dyDescent="0.2">
      <c r="A751" s="24"/>
      <c r="B751" s="24"/>
      <c r="C751" s="24"/>
      <c r="D751" s="24"/>
      <c r="E751" s="24"/>
      <c r="F751" s="24"/>
      <c r="G751" s="24"/>
      <c r="H751" s="24"/>
      <c r="I751" s="24"/>
      <c r="J751" s="55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2.75" x14ac:dyDescent="0.2">
      <c r="A752" s="24"/>
      <c r="B752" s="24"/>
      <c r="C752" s="24"/>
      <c r="D752" s="24"/>
      <c r="E752" s="24"/>
      <c r="F752" s="24"/>
      <c r="G752" s="24"/>
      <c r="H752" s="24"/>
      <c r="I752" s="24"/>
      <c r="J752" s="55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2.75" x14ac:dyDescent="0.2">
      <c r="A753" s="24"/>
      <c r="B753" s="24"/>
      <c r="C753" s="24"/>
      <c r="D753" s="24"/>
      <c r="E753" s="24"/>
      <c r="F753" s="24"/>
      <c r="G753" s="24"/>
      <c r="H753" s="24"/>
      <c r="I753" s="24"/>
      <c r="J753" s="55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2.75" x14ac:dyDescent="0.2">
      <c r="A754" s="24"/>
      <c r="B754" s="24"/>
      <c r="C754" s="24"/>
      <c r="D754" s="24"/>
      <c r="E754" s="24"/>
      <c r="F754" s="24"/>
      <c r="G754" s="24"/>
      <c r="H754" s="24"/>
      <c r="I754" s="24"/>
      <c r="J754" s="55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2.75" x14ac:dyDescent="0.2">
      <c r="A755" s="24"/>
      <c r="B755" s="24"/>
      <c r="C755" s="24"/>
      <c r="D755" s="24"/>
      <c r="E755" s="24"/>
      <c r="F755" s="24"/>
      <c r="G755" s="24"/>
      <c r="H755" s="24"/>
      <c r="I755" s="24"/>
      <c r="J755" s="55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2.75" x14ac:dyDescent="0.2">
      <c r="A756" s="24"/>
      <c r="B756" s="24"/>
      <c r="C756" s="24"/>
      <c r="D756" s="24"/>
      <c r="E756" s="24"/>
      <c r="F756" s="24"/>
      <c r="G756" s="24"/>
      <c r="H756" s="24"/>
      <c r="I756" s="24"/>
      <c r="J756" s="55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2.75" x14ac:dyDescent="0.2">
      <c r="A757" s="24"/>
      <c r="B757" s="24"/>
      <c r="C757" s="24"/>
      <c r="D757" s="24"/>
      <c r="E757" s="24"/>
      <c r="F757" s="24"/>
      <c r="G757" s="24"/>
      <c r="H757" s="24"/>
      <c r="I757" s="24"/>
      <c r="J757" s="55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2.75" x14ac:dyDescent="0.2">
      <c r="A758" s="24"/>
      <c r="B758" s="24"/>
      <c r="C758" s="24"/>
      <c r="D758" s="24"/>
      <c r="E758" s="24"/>
      <c r="F758" s="24"/>
      <c r="G758" s="24"/>
      <c r="H758" s="24"/>
      <c r="I758" s="24"/>
      <c r="J758" s="55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2.75" x14ac:dyDescent="0.2">
      <c r="A759" s="24"/>
      <c r="B759" s="24"/>
      <c r="C759" s="24"/>
      <c r="D759" s="24"/>
      <c r="E759" s="24"/>
      <c r="F759" s="24"/>
      <c r="G759" s="24"/>
      <c r="H759" s="24"/>
      <c r="I759" s="24"/>
      <c r="J759" s="55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2.75" x14ac:dyDescent="0.2">
      <c r="A760" s="24"/>
      <c r="B760" s="24"/>
      <c r="C760" s="24"/>
      <c r="D760" s="24"/>
      <c r="E760" s="24"/>
      <c r="F760" s="24"/>
      <c r="G760" s="24"/>
      <c r="H760" s="24"/>
      <c r="I760" s="24"/>
      <c r="J760" s="55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2.75" x14ac:dyDescent="0.2">
      <c r="A761" s="24"/>
      <c r="B761" s="24"/>
      <c r="C761" s="24"/>
      <c r="D761" s="24"/>
      <c r="E761" s="24"/>
      <c r="F761" s="24"/>
      <c r="G761" s="24"/>
      <c r="H761" s="24"/>
      <c r="I761" s="24"/>
      <c r="J761" s="55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2.75" x14ac:dyDescent="0.2">
      <c r="A762" s="24"/>
      <c r="B762" s="24"/>
      <c r="C762" s="24"/>
      <c r="D762" s="24"/>
      <c r="E762" s="24"/>
      <c r="F762" s="24"/>
      <c r="G762" s="24"/>
      <c r="H762" s="24"/>
      <c r="I762" s="24"/>
      <c r="J762" s="55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2.75" x14ac:dyDescent="0.2">
      <c r="A763" s="24"/>
      <c r="B763" s="24"/>
      <c r="C763" s="24"/>
      <c r="D763" s="24"/>
      <c r="E763" s="24"/>
      <c r="F763" s="24"/>
      <c r="G763" s="24"/>
      <c r="H763" s="24"/>
      <c r="I763" s="24"/>
      <c r="J763" s="55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2.75" x14ac:dyDescent="0.2">
      <c r="A764" s="24"/>
      <c r="B764" s="24"/>
      <c r="C764" s="24"/>
      <c r="D764" s="24"/>
      <c r="E764" s="24"/>
      <c r="F764" s="24"/>
      <c r="G764" s="24"/>
      <c r="H764" s="24"/>
      <c r="I764" s="24"/>
      <c r="J764" s="55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2.75" x14ac:dyDescent="0.2">
      <c r="A765" s="24"/>
      <c r="B765" s="24"/>
      <c r="C765" s="24"/>
      <c r="D765" s="24"/>
      <c r="E765" s="24"/>
      <c r="F765" s="24"/>
      <c r="G765" s="24"/>
      <c r="H765" s="24"/>
      <c r="I765" s="24"/>
      <c r="J765" s="55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2.75" x14ac:dyDescent="0.2">
      <c r="A766" s="24"/>
      <c r="B766" s="24"/>
      <c r="C766" s="24"/>
      <c r="D766" s="24"/>
      <c r="E766" s="24"/>
      <c r="F766" s="24"/>
      <c r="G766" s="24"/>
      <c r="H766" s="24"/>
      <c r="I766" s="24"/>
      <c r="J766" s="55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2.75" x14ac:dyDescent="0.2">
      <c r="A767" s="24"/>
      <c r="B767" s="24"/>
      <c r="C767" s="24"/>
      <c r="D767" s="24"/>
      <c r="E767" s="24"/>
      <c r="F767" s="24"/>
      <c r="G767" s="24"/>
      <c r="H767" s="24"/>
      <c r="I767" s="24"/>
      <c r="J767" s="55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2.75" x14ac:dyDescent="0.2">
      <c r="A768" s="24"/>
      <c r="B768" s="24"/>
      <c r="C768" s="24"/>
      <c r="D768" s="24"/>
      <c r="E768" s="24"/>
      <c r="F768" s="24"/>
      <c r="G768" s="24"/>
      <c r="H768" s="24"/>
      <c r="I768" s="24"/>
      <c r="J768" s="55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2.75" x14ac:dyDescent="0.2">
      <c r="A769" s="24"/>
      <c r="B769" s="24"/>
      <c r="C769" s="24"/>
      <c r="D769" s="24"/>
      <c r="E769" s="24"/>
      <c r="F769" s="24"/>
      <c r="G769" s="24"/>
      <c r="H769" s="24"/>
      <c r="I769" s="24"/>
      <c r="J769" s="55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2.75" x14ac:dyDescent="0.2">
      <c r="A770" s="24"/>
      <c r="B770" s="24"/>
      <c r="C770" s="24"/>
      <c r="D770" s="24"/>
      <c r="E770" s="24"/>
      <c r="F770" s="24"/>
      <c r="G770" s="24"/>
      <c r="H770" s="24"/>
      <c r="I770" s="24"/>
      <c r="J770" s="55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2.75" x14ac:dyDescent="0.2">
      <c r="A771" s="24"/>
      <c r="B771" s="24"/>
      <c r="C771" s="24"/>
      <c r="D771" s="24"/>
      <c r="E771" s="24"/>
      <c r="F771" s="24"/>
      <c r="G771" s="24"/>
      <c r="H771" s="24"/>
      <c r="I771" s="24"/>
      <c r="J771" s="55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2.75" x14ac:dyDescent="0.2">
      <c r="A772" s="24"/>
      <c r="B772" s="24"/>
      <c r="C772" s="24"/>
      <c r="D772" s="24"/>
      <c r="E772" s="24"/>
      <c r="F772" s="24"/>
      <c r="G772" s="24"/>
      <c r="H772" s="24"/>
      <c r="I772" s="24"/>
      <c r="J772" s="55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2.75" x14ac:dyDescent="0.2">
      <c r="A773" s="24"/>
      <c r="B773" s="24"/>
      <c r="C773" s="24"/>
      <c r="D773" s="24"/>
      <c r="E773" s="24"/>
      <c r="F773" s="24"/>
      <c r="G773" s="24"/>
      <c r="H773" s="24"/>
      <c r="I773" s="24"/>
      <c r="J773" s="55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2.75" x14ac:dyDescent="0.2">
      <c r="A774" s="24"/>
      <c r="B774" s="24"/>
      <c r="C774" s="24"/>
      <c r="D774" s="24"/>
      <c r="E774" s="24"/>
      <c r="F774" s="24"/>
      <c r="G774" s="24"/>
      <c r="H774" s="24"/>
      <c r="I774" s="24"/>
      <c r="J774" s="55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2.75" x14ac:dyDescent="0.2">
      <c r="A775" s="24"/>
      <c r="B775" s="24"/>
      <c r="C775" s="24"/>
      <c r="D775" s="24"/>
      <c r="E775" s="24"/>
      <c r="F775" s="24"/>
      <c r="G775" s="24"/>
      <c r="H775" s="24"/>
      <c r="I775" s="24"/>
      <c r="J775" s="55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2.75" x14ac:dyDescent="0.2">
      <c r="A776" s="24"/>
      <c r="B776" s="24"/>
      <c r="C776" s="24"/>
      <c r="D776" s="24"/>
      <c r="E776" s="24"/>
      <c r="F776" s="24"/>
      <c r="G776" s="24"/>
      <c r="H776" s="24"/>
      <c r="I776" s="24"/>
      <c r="J776" s="55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2.75" x14ac:dyDescent="0.2">
      <c r="A777" s="24"/>
      <c r="B777" s="24"/>
      <c r="C777" s="24"/>
      <c r="D777" s="24"/>
      <c r="E777" s="24"/>
      <c r="F777" s="24"/>
      <c r="G777" s="24"/>
      <c r="H777" s="24"/>
      <c r="I777" s="24"/>
      <c r="J777" s="55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2.75" x14ac:dyDescent="0.2">
      <c r="A778" s="24"/>
      <c r="B778" s="24"/>
      <c r="C778" s="24"/>
      <c r="D778" s="24"/>
      <c r="E778" s="24"/>
      <c r="F778" s="24"/>
      <c r="G778" s="24"/>
      <c r="H778" s="24"/>
      <c r="I778" s="24"/>
      <c r="J778" s="55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2.75" x14ac:dyDescent="0.2">
      <c r="A779" s="24"/>
      <c r="B779" s="24"/>
      <c r="C779" s="24"/>
      <c r="D779" s="24"/>
      <c r="E779" s="24"/>
      <c r="F779" s="24"/>
      <c r="G779" s="24"/>
      <c r="H779" s="24"/>
      <c r="I779" s="24"/>
      <c r="J779" s="55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2.75" x14ac:dyDescent="0.2">
      <c r="A780" s="24"/>
      <c r="B780" s="24"/>
      <c r="C780" s="24"/>
      <c r="D780" s="24"/>
      <c r="E780" s="24"/>
      <c r="F780" s="24"/>
      <c r="G780" s="24"/>
      <c r="H780" s="24"/>
      <c r="I780" s="24"/>
      <c r="J780" s="55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2.75" x14ac:dyDescent="0.2">
      <c r="A781" s="24"/>
      <c r="B781" s="24"/>
      <c r="C781" s="24"/>
      <c r="D781" s="24"/>
      <c r="E781" s="24"/>
      <c r="F781" s="24"/>
      <c r="G781" s="24"/>
      <c r="H781" s="24"/>
      <c r="I781" s="24"/>
      <c r="J781" s="55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2.75" x14ac:dyDescent="0.2">
      <c r="A782" s="24"/>
      <c r="B782" s="24"/>
      <c r="C782" s="24"/>
      <c r="D782" s="24"/>
      <c r="E782" s="24"/>
      <c r="F782" s="24"/>
      <c r="G782" s="24"/>
      <c r="H782" s="24"/>
      <c r="I782" s="24"/>
      <c r="J782" s="55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2.75" x14ac:dyDescent="0.2">
      <c r="A783" s="24"/>
      <c r="B783" s="24"/>
      <c r="C783" s="24"/>
      <c r="D783" s="24"/>
      <c r="E783" s="24"/>
      <c r="F783" s="24"/>
      <c r="G783" s="24"/>
      <c r="H783" s="24"/>
      <c r="I783" s="24"/>
      <c r="J783" s="55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2.75" x14ac:dyDescent="0.2">
      <c r="A784" s="24"/>
      <c r="B784" s="24"/>
      <c r="C784" s="24"/>
      <c r="D784" s="24"/>
      <c r="E784" s="24"/>
      <c r="F784" s="24"/>
      <c r="G784" s="24"/>
      <c r="H784" s="24"/>
      <c r="I784" s="24"/>
      <c r="J784" s="55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2.75" x14ac:dyDescent="0.2">
      <c r="A785" s="24"/>
      <c r="B785" s="24"/>
      <c r="C785" s="24"/>
      <c r="D785" s="24"/>
      <c r="E785" s="24"/>
      <c r="F785" s="24"/>
      <c r="G785" s="24"/>
      <c r="H785" s="24"/>
      <c r="I785" s="24"/>
      <c r="J785" s="55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2.75" x14ac:dyDescent="0.2">
      <c r="A786" s="24"/>
      <c r="B786" s="24"/>
      <c r="C786" s="24"/>
      <c r="D786" s="24"/>
      <c r="E786" s="24"/>
      <c r="F786" s="24"/>
      <c r="G786" s="24"/>
      <c r="H786" s="24"/>
      <c r="I786" s="24"/>
      <c r="J786" s="55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2.75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55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2.75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55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2.75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55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2.75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55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2.75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55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2.75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55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2.75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55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2.75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55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2.75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55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2.75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55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2.75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55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2.75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55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2.75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55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2.75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55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2.75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55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2.75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55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2.75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55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2.75" x14ac:dyDescent="0.2">
      <c r="A804" s="24"/>
      <c r="B804" s="24"/>
      <c r="C804" s="24"/>
      <c r="D804" s="24"/>
      <c r="E804" s="24"/>
      <c r="F804" s="24"/>
      <c r="G804" s="24"/>
      <c r="H804" s="24"/>
      <c r="I804" s="24"/>
      <c r="J804" s="55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2.75" x14ac:dyDescent="0.2">
      <c r="A805" s="24"/>
      <c r="B805" s="24"/>
      <c r="C805" s="24"/>
      <c r="D805" s="24"/>
      <c r="E805" s="24"/>
      <c r="F805" s="24"/>
      <c r="G805" s="24"/>
      <c r="H805" s="24"/>
      <c r="I805" s="24"/>
      <c r="J805" s="55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2.75" x14ac:dyDescent="0.2">
      <c r="A806" s="24"/>
      <c r="B806" s="24"/>
      <c r="C806" s="24"/>
      <c r="D806" s="24"/>
      <c r="E806" s="24"/>
      <c r="F806" s="24"/>
      <c r="G806" s="24"/>
      <c r="H806" s="24"/>
      <c r="I806" s="24"/>
      <c r="J806" s="55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2.75" x14ac:dyDescent="0.2">
      <c r="A807" s="24"/>
      <c r="B807" s="24"/>
      <c r="C807" s="24"/>
      <c r="D807" s="24"/>
      <c r="E807" s="24"/>
      <c r="F807" s="24"/>
      <c r="G807" s="24"/>
      <c r="H807" s="24"/>
      <c r="I807" s="24"/>
      <c r="J807" s="55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2.75" x14ac:dyDescent="0.2">
      <c r="A808" s="24"/>
      <c r="B808" s="24"/>
      <c r="C808" s="24"/>
      <c r="D808" s="24"/>
      <c r="E808" s="24"/>
      <c r="F808" s="24"/>
      <c r="G808" s="24"/>
      <c r="H808" s="24"/>
      <c r="I808" s="24"/>
      <c r="J808" s="55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2.75" x14ac:dyDescent="0.2">
      <c r="A809" s="24"/>
      <c r="B809" s="24"/>
      <c r="C809" s="24"/>
      <c r="D809" s="24"/>
      <c r="E809" s="24"/>
      <c r="F809" s="24"/>
      <c r="G809" s="24"/>
      <c r="H809" s="24"/>
      <c r="I809" s="24"/>
      <c r="J809" s="55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2.75" x14ac:dyDescent="0.2">
      <c r="A810" s="24"/>
      <c r="B810" s="24"/>
      <c r="C810" s="24"/>
      <c r="D810" s="24"/>
      <c r="E810" s="24"/>
      <c r="F810" s="24"/>
      <c r="G810" s="24"/>
      <c r="H810" s="24"/>
      <c r="I810" s="24"/>
      <c r="J810" s="55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2.75" x14ac:dyDescent="0.2">
      <c r="A811" s="24"/>
      <c r="B811" s="24"/>
      <c r="C811" s="24"/>
      <c r="D811" s="24"/>
      <c r="E811" s="24"/>
      <c r="F811" s="24"/>
      <c r="G811" s="24"/>
      <c r="H811" s="24"/>
      <c r="I811" s="24"/>
      <c r="J811" s="55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2.75" x14ac:dyDescent="0.2">
      <c r="A812" s="24"/>
      <c r="B812" s="24"/>
      <c r="C812" s="24"/>
      <c r="D812" s="24"/>
      <c r="E812" s="24"/>
      <c r="F812" s="24"/>
      <c r="G812" s="24"/>
      <c r="H812" s="24"/>
      <c r="I812" s="24"/>
      <c r="J812" s="55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2.75" x14ac:dyDescent="0.2">
      <c r="A813" s="24"/>
      <c r="B813" s="24"/>
      <c r="C813" s="24"/>
      <c r="D813" s="24"/>
      <c r="E813" s="24"/>
      <c r="F813" s="24"/>
      <c r="G813" s="24"/>
      <c r="H813" s="24"/>
      <c r="I813" s="24"/>
      <c r="J813" s="55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2.75" x14ac:dyDescent="0.2">
      <c r="A814" s="24"/>
      <c r="B814" s="24"/>
      <c r="C814" s="24"/>
      <c r="D814" s="24"/>
      <c r="E814" s="24"/>
      <c r="F814" s="24"/>
      <c r="G814" s="24"/>
      <c r="H814" s="24"/>
      <c r="I814" s="24"/>
      <c r="J814" s="55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2.75" x14ac:dyDescent="0.2">
      <c r="A815" s="24"/>
      <c r="B815" s="24"/>
      <c r="C815" s="24"/>
      <c r="D815" s="24"/>
      <c r="E815" s="24"/>
      <c r="F815" s="24"/>
      <c r="G815" s="24"/>
      <c r="H815" s="24"/>
      <c r="I815" s="24"/>
      <c r="J815" s="55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2.75" x14ac:dyDescent="0.2">
      <c r="A816" s="24"/>
      <c r="B816" s="24"/>
      <c r="C816" s="24"/>
      <c r="D816" s="24"/>
      <c r="E816" s="24"/>
      <c r="F816" s="24"/>
      <c r="G816" s="24"/>
      <c r="H816" s="24"/>
      <c r="I816" s="24"/>
      <c r="J816" s="55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2.75" x14ac:dyDescent="0.2">
      <c r="A817" s="24"/>
      <c r="B817" s="24"/>
      <c r="C817" s="24"/>
      <c r="D817" s="24"/>
      <c r="E817" s="24"/>
      <c r="F817" s="24"/>
      <c r="G817" s="24"/>
      <c r="H817" s="24"/>
      <c r="I817" s="24"/>
      <c r="J817" s="55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2.75" x14ac:dyDescent="0.2">
      <c r="A818" s="24"/>
      <c r="B818" s="24"/>
      <c r="C818" s="24"/>
      <c r="D818" s="24"/>
      <c r="E818" s="24"/>
      <c r="F818" s="24"/>
      <c r="G818" s="24"/>
      <c r="H818" s="24"/>
      <c r="I818" s="24"/>
      <c r="J818" s="55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2.75" x14ac:dyDescent="0.2">
      <c r="A819" s="24"/>
      <c r="B819" s="24"/>
      <c r="C819" s="24"/>
      <c r="D819" s="24"/>
      <c r="E819" s="24"/>
      <c r="F819" s="24"/>
      <c r="G819" s="24"/>
      <c r="H819" s="24"/>
      <c r="I819" s="24"/>
      <c r="J819" s="55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2.75" x14ac:dyDescent="0.2">
      <c r="A820" s="24"/>
      <c r="B820" s="24"/>
      <c r="C820" s="24"/>
      <c r="D820" s="24"/>
      <c r="E820" s="24"/>
      <c r="F820" s="24"/>
      <c r="G820" s="24"/>
      <c r="H820" s="24"/>
      <c r="I820" s="24"/>
      <c r="J820" s="55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2.75" x14ac:dyDescent="0.2">
      <c r="A821" s="24"/>
      <c r="B821" s="24"/>
      <c r="C821" s="24"/>
      <c r="D821" s="24"/>
      <c r="E821" s="24"/>
      <c r="F821" s="24"/>
      <c r="G821" s="24"/>
      <c r="H821" s="24"/>
      <c r="I821" s="24"/>
      <c r="J821" s="55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2.75" x14ac:dyDescent="0.2">
      <c r="A822" s="24"/>
      <c r="B822" s="24"/>
      <c r="C822" s="24"/>
      <c r="D822" s="24"/>
      <c r="E822" s="24"/>
      <c r="F822" s="24"/>
      <c r="G822" s="24"/>
      <c r="H822" s="24"/>
      <c r="I822" s="24"/>
      <c r="J822" s="55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2.75" x14ac:dyDescent="0.2">
      <c r="A823" s="24"/>
      <c r="B823" s="24"/>
      <c r="C823" s="24"/>
      <c r="D823" s="24"/>
      <c r="E823" s="24"/>
      <c r="F823" s="24"/>
      <c r="G823" s="24"/>
      <c r="H823" s="24"/>
      <c r="I823" s="24"/>
      <c r="J823" s="55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2.75" x14ac:dyDescent="0.2">
      <c r="A824" s="24"/>
      <c r="B824" s="24"/>
      <c r="C824" s="24"/>
      <c r="D824" s="24"/>
      <c r="E824" s="24"/>
      <c r="F824" s="24"/>
      <c r="G824" s="24"/>
      <c r="H824" s="24"/>
      <c r="I824" s="24"/>
      <c r="J824" s="55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2.75" x14ac:dyDescent="0.2">
      <c r="A825" s="24"/>
      <c r="B825" s="24"/>
      <c r="C825" s="24"/>
      <c r="D825" s="24"/>
      <c r="E825" s="24"/>
      <c r="F825" s="24"/>
      <c r="G825" s="24"/>
      <c r="H825" s="24"/>
      <c r="I825" s="24"/>
      <c r="J825" s="55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2.75" x14ac:dyDescent="0.2">
      <c r="A826" s="24"/>
      <c r="B826" s="24"/>
      <c r="C826" s="24"/>
      <c r="D826" s="24"/>
      <c r="E826" s="24"/>
      <c r="F826" s="24"/>
      <c r="G826" s="24"/>
      <c r="H826" s="24"/>
      <c r="I826" s="24"/>
      <c r="J826" s="55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2.75" x14ac:dyDescent="0.2">
      <c r="A827" s="24"/>
      <c r="B827" s="24"/>
      <c r="C827" s="24"/>
      <c r="D827" s="24"/>
      <c r="E827" s="24"/>
      <c r="F827" s="24"/>
      <c r="G827" s="24"/>
      <c r="H827" s="24"/>
      <c r="I827" s="24"/>
      <c r="J827" s="55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2.75" x14ac:dyDescent="0.2">
      <c r="A828" s="24"/>
      <c r="B828" s="24"/>
      <c r="C828" s="24"/>
      <c r="D828" s="24"/>
      <c r="E828" s="24"/>
      <c r="F828" s="24"/>
      <c r="G828" s="24"/>
      <c r="H828" s="24"/>
      <c r="I828" s="24"/>
      <c r="J828" s="55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2.75" x14ac:dyDescent="0.2">
      <c r="A829" s="24"/>
      <c r="B829" s="24"/>
      <c r="C829" s="24"/>
      <c r="D829" s="24"/>
      <c r="E829" s="24"/>
      <c r="F829" s="24"/>
      <c r="G829" s="24"/>
      <c r="H829" s="24"/>
      <c r="I829" s="24"/>
      <c r="J829" s="55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2.75" x14ac:dyDescent="0.2">
      <c r="A830" s="24"/>
      <c r="B830" s="24"/>
      <c r="C830" s="24"/>
      <c r="D830" s="24"/>
      <c r="E830" s="24"/>
      <c r="F830" s="24"/>
      <c r="G830" s="24"/>
      <c r="H830" s="24"/>
      <c r="I830" s="24"/>
      <c r="J830" s="55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2.75" x14ac:dyDescent="0.2">
      <c r="A831" s="24"/>
      <c r="B831" s="24"/>
      <c r="C831" s="24"/>
      <c r="D831" s="24"/>
      <c r="E831" s="24"/>
      <c r="F831" s="24"/>
      <c r="G831" s="24"/>
      <c r="H831" s="24"/>
      <c r="I831" s="24"/>
      <c r="J831" s="55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2.75" x14ac:dyDescent="0.2">
      <c r="A832" s="24"/>
      <c r="B832" s="24"/>
      <c r="C832" s="24"/>
      <c r="D832" s="24"/>
      <c r="E832" s="24"/>
      <c r="F832" s="24"/>
      <c r="G832" s="24"/>
      <c r="H832" s="24"/>
      <c r="I832" s="24"/>
      <c r="J832" s="55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2.75" x14ac:dyDescent="0.2">
      <c r="A833" s="24"/>
      <c r="B833" s="24"/>
      <c r="C833" s="24"/>
      <c r="D833" s="24"/>
      <c r="E833" s="24"/>
      <c r="F833" s="24"/>
      <c r="G833" s="24"/>
      <c r="H833" s="24"/>
      <c r="I833" s="24"/>
      <c r="J833" s="55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2.75" x14ac:dyDescent="0.2">
      <c r="A834" s="24"/>
      <c r="B834" s="24"/>
      <c r="C834" s="24"/>
      <c r="D834" s="24"/>
      <c r="E834" s="24"/>
      <c r="F834" s="24"/>
      <c r="G834" s="24"/>
      <c r="H834" s="24"/>
      <c r="I834" s="24"/>
      <c r="J834" s="55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2.75" x14ac:dyDescent="0.2">
      <c r="A835" s="24"/>
      <c r="B835" s="24"/>
      <c r="C835" s="24"/>
      <c r="D835" s="24"/>
      <c r="E835" s="24"/>
      <c r="F835" s="24"/>
      <c r="G835" s="24"/>
      <c r="H835" s="24"/>
      <c r="I835" s="24"/>
      <c r="J835" s="55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2.75" x14ac:dyDescent="0.2">
      <c r="A836" s="24"/>
      <c r="B836" s="24"/>
      <c r="C836" s="24"/>
      <c r="D836" s="24"/>
      <c r="E836" s="24"/>
      <c r="F836" s="24"/>
      <c r="G836" s="24"/>
      <c r="H836" s="24"/>
      <c r="I836" s="24"/>
      <c r="J836" s="55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2.75" x14ac:dyDescent="0.2">
      <c r="A837" s="24"/>
      <c r="B837" s="24"/>
      <c r="C837" s="24"/>
      <c r="D837" s="24"/>
      <c r="E837" s="24"/>
      <c r="F837" s="24"/>
      <c r="G837" s="24"/>
      <c r="H837" s="24"/>
      <c r="I837" s="24"/>
      <c r="J837" s="55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2.75" x14ac:dyDescent="0.2">
      <c r="A838" s="24"/>
      <c r="B838" s="24"/>
      <c r="C838" s="24"/>
      <c r="D838" s="24"/>
      <c r="E838" s="24"/>
      <c r="F838" s="24"/>
      <c r="G838" s="24"/>
      <c r="H838" s="24"/>
      <c r="I838" s="24"/>
      <c r="J838" s="55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2.75" x14ac:dyDescent="0.2">
      <c r="A839" s="24"/>
      <c r="B839" s="24"/>
      <c r="C839" s="24"/>
      <c r="D839" s="24"/>
      <c r="E839" s="24"/>
      <c r="F839" s="24"/>
      <c r="G839" s="24"/>
      <c r="H839" s="24"/>
      <c r="I839" s="24"/>
      <c r="J839" s="55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2.75" x14ac:dyDescent="0.2">
      <c r="A840" s="24"/>
      <c r="B840" s="24"/>
      <c r="C840" s="24"/>
      <c r="D840" s="24"/>
      <c r="E840" s="24"/>
      <c r="F840" s="24"/>
      <c r="G840" s="24"/>
      <c r="H840" s="24"/>
      <c r="I840" s="24"/>
      <c r="J840" s="55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2.75" x14ac:dyDescent="0.2">
      <c r="A841" s="24"/>
      <c r="B841" s="24"/>
      <c r="C841" s="24"/>
      <c r="D841" s="24"/>
      <c r="E841" s="24"/>
      <c r="F841" s="24"/>
      <c r="G841" s="24"/>
      <c r="H841" s="24"/>
      <c r="I841" s="24"/>
      <c r="J841" s="55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2.75" x14ac:dyDescent="0.2">
      <c r="A842" s="24"/>
      <c r="B842" s="24"/>
      <c r="C842" s="24"/>
      <c r="D842" s="24"/>
      <c r="E842" s="24"/>
      <c r="F842" s="24"/>
      <c r="G842" s="24"/>
      <c r="H842" s="24"/>
      <c r="I842" s="24"/>
      <c r="J842" s="55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2.75" x14ac:dyDescent="0.2">
      <c r="A843" s="24"/>
      <c r="B843" s="24"/>
      <c r="C843" s="24"/>
      <c r="D843" s="24"/>
      <c r="E843" s="24"/>
      <c r="F843" s="24"/>
      <c r="G843" s="24"/>
      <c r="H843" s="24"/>
      <c r="I843" s="24"/>
      <c r="J843" s="55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2.75" x14ac:dyDescent="0.2">
      <c r="A844" s="24"/>
      <c r="B844" s="24"/>
      <c r="C844" s="24"/>
      <c r="D844" s="24"/>
      <c r="E844" s="24"/>
      <c r="F844" s="24"/>
      <c r="G844" s="24"/>
      <c r="H844" s="24"/>
      <c r="I844" s="24"/>
      <c r="J844" s="55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2.75" x14ac:dyDescent="0.2">
      <c r="A845" s="24"/>
      <c r="B845" s="24"/>
      <c r="C845" s="24"/>
      <c r="D845" s="24"/>
      <c r="E845" s="24"/>
      <c r="F845" s="24"/>
      <c r="G845" s="24"/>
      <c r="H845" s="24"/>
      <c r="I845" s="24"/>
      <c r="J845" s="55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2.75" x14ac:dyDescent="0.2">
      <c r="A846" s="24"/>
      <c r="B846" s="24"/>
      <c r="C846" s="24"/>
      <c r="D846" s="24"/>
      <c r="E846" s="24"/>
      <c r="F846" s="24"/>
      <c r="G846" s="24"/>
      <c r="H846" s="24"/>
      <c r="I846" s="24"/>
      <c r="J846" s="55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2.75" x14ac:dyDescent="0.2">
      <c r="A847" s="24"/>
      <c r="B847" s="24"/>
      <c r="C847" s="24"/>
      <c r="D847" s="24"/>
      <c r="E847" s="24"/>
      <c r="F847" s="24"/>
      <c r="G847" s="24"/>
      <c r="H847" s="24"/>
      <c r="I847" s="24"/>
      <c r="J847" s="55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2.75" x14ac:dyDescent="0.2">
      <c r="A848" s="24"/>
      <c r="B848" s="24"/>
      <c r="C848" s="24"/>
      <c r="D848" s="24"/>
      <c r="E848" s="24"/>
      <c r="F848" s="24"/>
      <c r="G848" s="24"/>
      <c r="H848" s="24"/>
      <c r="I848" s="24"/>
      <c r="J848" s="55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2.75" x14ac:dyDescent="0.2">
      <c r="A849" s="24"/>
      <c r="B849" s="24"/>
      <c r="C849" s="24"/>
      <c r="D849" s="24"/>
      <c r="E849" s="24"/>
      <c r="F849" s="24"/>
      <c r="G849" s="24"/>
      <c r="H849" s="24"/>
      <c r="I849" s="24"/>
      <c r="J849" s="55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2.75" x14ac:dyDescent="0.2">
      <c r="A850" s="24"/>
      <c r="B850" s="24"/>
      <c r="C850" s="24"/>
      <c r="D850" s="24"/>
      <c r="E850" s="24"/>
      <c r="F850" s="24"/>
      <c r="G850" s="24"/>
      <c r="H850" s="24"/>
      <c r="I850" s="24"/>
      <c r="J850" s="55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2.75" x14ac:dyDescent="0.2">
      <c r="A851" s="24"/>
      <c r="B851" s="24"/>
      <c r="C851" s="24"/>
      <c r="D851" s="24"/>
      <c r="E851" s="24"/>
      <c r="F851" s="24"/>
      <c r="G851" s="24"/>
      <c r="H851" s="24"/>
      <c r="I851" s="24"/>
      <c r="J851" s="55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2.75" x14ac:dyDescent="0.2">
      <c r="A852" s="24"/>
      <c r="B852" s="24"/>
      <c r="C852" s="24"/>
      <c r="D852" s="24"/>
      <c r="E852" s="24"/>
      <c r="F852" s="24"/>
      <c r="G852" s="24"/>
      <c r="H852" s="24"/>
      <c r="I852" s="24"/>
      <c r="J852" s="55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2.75" x14ac:dyDescent="0.2">
      <c r="A853" s="24"/>
      <c r="B853" s="24"/>
      <c r="C853" s="24"/>
      <c r="D853" s="24"/>
      <c r="E853" s="24"/>
      <c r="F853" s="24"/>
      <c r="G853" s="24"/>
      <c r="H853" s="24"/>
      <c r="I853" s="24"/>
      <c r="J853" s="55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2.75" x14ac:dyDescent="0.2">
      <c r="A854" s="24"/>
      <c r="B854" s="24"/>
      <c r="C854" s="24"/>
      <c r="D854" s="24"/>
      <c r="E854" s="24"/>
      <c r="F854" s="24"/>
      <c r="G854" s="24"/>
      <c r="H854" s="24"/>
      <c r="I854" s="24"/>
      <c r="J854" s="55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2.75" x14ac:dyDescent="0.2">
      <c r="A855" s="24"/>
      <c r="B855" s="24"/>
      <c r="C855" s="24"/>
      <c r="D855" s="24"/>
      <c r="E855" s="24"/>
      <c r="F855" s="24"/>
      <c r="G855" s="24"/>
      <c r="H855" s="24"/>
      <c r="I855" s="24"/>
      <c r="J855" s="55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2.75" x14ac:dyDescent="0.2">
      <c r="A856" s="24"/>
      <c r="B856" s="24"/>
      <c r="C856" s="24"/>
      <c r="D856" s="24"/>
      <c r="E856" s="24"/>
      <c r="F856" s="24"/>
      <c r="G856" s="24"/>
      <c r="H856" s="24"/>
      <c r="I856" s="24"/>
      <c r="J856" s="55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2.75" x14ac:dyDescent="0.2">
      <c r="A857" s="24"/>
      <c r="B857" s="24"/>
      <c r="C857" s="24"/>
      <c r="D857" s="24"/>
      <c r="E857" s="24"/>
      <c r="F857" s="24"/>
      <c r="G857" s="24"/>
      <c r="H857" s="24"/>
      <c r="I857" s="24"/>
      <c r="J857" s="55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2.75" x14ac:dyDescent="0.2">
      <c r="A858" s="24"/>
      <c r="B858" s="24"/>
      <c r="C858" s="24"/>
      <c r="D858" s="24"/>
      <c r="E858" s="24"/>
      <c r="F858" s="24"/>
      <c r="G858" s="24"/>
      <c r="H858" s="24"/>
      <c r="I858" s="24"/>
      <c r="J858" s="55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2.75" x14ac:dyDescent="0.2">
      <c r="A859" s="24"/>
      <c r="B859" s="24"/>
      <c r="C859" s="24"/>
      <c r="D859" s="24"/>
      <c r="E859" s="24"/>
      <c r="F859" s="24"/>
      <c r="G859" s="24"/>
      <c r="H859" s="24"/>
      <c r="I859" s="24"/>
      <c r="J859" s="55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2.75" x14ac:dyDescent="0.2">
      <c r="A860" s="24"/>
      <c r="B860" s="24"/>
      <c r="C860" s="24"/>
      <c r="D860" s="24"/>
      <c r="E860" s="24"/>
      <c r="F860" s="24"/>
      <c r="G860" s="24"/>
      <c r="H860" s="24"/>
      <c r="I860" s="24"/>
      <c r="J860" s="55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2.75" x14ac:dyDescent="0.2">
      <c r="A861" s="24"/>
      <c r="B861" s="24"/>
      <c r="C861" s="24"/>
      <c r="D861" s="24"/>
      <c r="E861" s="24"/>
      <c r="F861" s="24"/>
      <c r="G861" s="24"/>
      <c r="H861" s="24"/>
      <c r="I861" s="24"/>
      <c r="J861" s="55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2.75" x14ac:dyDescent="0.2">
      <c r="A862" s="24"/>
      <c r="B862" s="24"/>
      <c r="C862" s="24"/>
      <c r="D862" s="24"/>
      <c r="E862" s="24"/>
      <c r="F862" s="24"/>
      <c r="G862" s="24"/>
      <c r="H862" s="24"/>
      <c r="I862" s="24"/>
      <c r="J862" s="55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2.75" x14ac:dyDescent="0.2">
      <c r="A863" s="24"/>
      <c r="B863" s="24"/>
      <c r="C863" s="24"/>
      <c r="D863" s="24"/>
      <c r="E863" s="24"/>
      <c r="F863" s="24"/>
      <c r="G863" s="24"/>
      <c r="H863" s="24"/>
      <c r="I863" s="24"/>
      <c r="J863" s="55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2.75" x14ac:dyDescent="0.2">
      <c r="A864" s="24"/>
      <c r="B864" s="24"/>
      <c r="C864" s="24"/>
      <c r="D864" s="24"/>
      <c r="E864" s="24"/>
      <c r="F864" s="24"/>
      <c r="G864" s="24"/>
      <c r="H864" s="24"/>
      <c r="I864" s="24"/>
      <c r="J864" s="55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2.75" x14ac:dyDescent="0.2">
      <c r="A865" s="24"/>
      <c r="B865" s="24"/>
      <c r="C865" s="24"/>
      <c r="D865" s="24"/>
      <c r="E865" s="24"/>
      <c r="F865" s="24"/>
      <c r="G865" s="24"/>
      <c r="H865" s="24"/>
      <c r="I865" s="24"/>
      <c r="J865" s="55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2.75" x14ac:dyDescent="0.2">
      <c r="A866" s="24"/>
      <c r="B866" s="24"/>
      <c r="C866" s="24"/>
      <c r="D866" s="24"/>
      <c r="E866" s="24"/>
      <c r="F866" s="24"/>
      <c r="G866" s="24"/>
      <c r="H866" s="24"/>
      <c r="I866" s="24"/>
      <c r="J866" s="55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2.75" x14ac:dyDescent="0.2">
      <c r="A867" s="24"/>
      <c r="B867" s="24"/>
      <c r="C867" s="24"/>
      <c r="D867" s="24"/>
      <c r="E867" s="24"/>
      <c r="F867" s="24"/>
      <c r="G867" s="24"/>
      <c r="H867" s="24"/>
      <c r="I867" s="24"/>
      <c r="J867" s="55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2.75" x14ac:dyDescent="0.2">
      <c r="A868" s="24"/>
      <c r="B868" s="24"/>
      <c r="C868" s="24"/>
      <c r="D868" s="24"/>
      <c r="E868" s="24"/>
      <c r="F868" s="24"/>
      <c r="G868" s="24"/>
      <c r="H868" s="24"/>
      <c r="I868" s="24"/>
      <c r="J868" s="55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2.75" x14ac:dyDescent="0.2">
      <c r="A869" s="24"/>
      <c r="B869" s="24"/>
      <c r="C869" s="24"/>
      <c r="D869" s="24"/>
      <c r="E869" s="24"/>
      <c r="F869" s="24"/>
      <c r="G869" s="24"/>
      <c r="H869" s="24"/>
      <c r="I869" s="24"/>
      <c r="J869" s="55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2.75" x14ac:dyDescent="0.2">
      <c r="A870" s="24"/>
      <c r="B870" s="24"/>
      <c r="C870" s="24"/>
      <c r="D870" s="24"/>
      <c r="E870" s="24"/>
      <c r="F870" s="24"/>
      <c r="G870" s="24"/>
      <c r="H870" s="24"/>
      <c r="I870" s="24"/>
      <c r="J870" s="55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2.75" x14ac:dyDescent="0.2">
      <c r="A871" s="24"/>
      <c r="B871" s="24"/>
      <c r="C871" s="24"/>
      <c r="D871" s="24"/>
      <c r="E871" s="24"/>
      <c r="F871" s="24"/>
      <c r="G871" s="24"/>
      <c r="H871" s="24"/>
      <c r="I871" s="24"/>
      <c r="J871" s="55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2.75" x14ac:dyDescent="0.2">
      <c r="A872" s="24"/>
      <c r="B872" s="24"/>
      <c r="C872" s="24"/>
      <c r="D872" s="24"/>
      <c r="E872" s="24"/>
      <c r="F872" s="24"/>
      <c r="G872" s="24"/>
      <c r="H872" s="24"/>
      <c r="I872" s="24"/>
      <c r="J872" s="55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2.75" x14ac:dyDescent="0.2">
      <c r="A873" s="24"/>
      <c r="B873" s="24"/>
      <c r="C873" s="24"/>
      <c r="D873" s="24"/>
      <c r="E873" s="24"/>
      <c r="F873" s="24"/>
      <c r="G873" s="24"/>
      <c r="H873" s="24"/>
      <c r="I873" s="24"/>
      <c r="J873" s="55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2.75" x14ac:dyDescent="0.2">
      <c r="A874" s="24"/>
      <c r="B874" s="24"/>
      <c r="C874" s="24"/>
      <c r="D874" s="24"/>
      <c r="E874" s="24"/>
      <c r="F874" s="24"/>
      <c r="G874" s="24"/>
      <c r="H874" s="24"/>
      <c r="I874" s="24"/>
      <c r="J874" s="55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2.75" x14ac:dyDescent="0.2">
      <c r="A875" s="24"/>
      <c r="B875" s="24"/>
      <c r="C875" s="24"/>
      <c r="D875" s="24"/>
      <c r="E875" s="24"/>
      <c r="F875" s="24"/>
      <c r="G875" s="24"/>
      <c r="H875" s="24"/>
      <c r="I875" s="24"/>
      <c r="J875" s="55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2.75" x14ac:dyDescent="0.2">
      <c r="A876" s="24"/>
      <c r="B876" s="24"/>
      <c r="C876" s="24"/>
      <c r="D876" s="24"/>
      <c r="E876" s="24"/>
      <c r="F876" s="24"/>
      <c r="G876" s="24"/>
      <c r="H876" s="24"/>
      <c r="I876" s="24"/>
      <c r="J876" s="55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2.75" x14ac:dyDescent="0.2">
      <c r="A877" s="24"/>
      <c r="B877" s="24"/>
      <c r="C877" s="24"/>
      <c r="D877" s="24"/>
      <c r="E877" s="24"/>
      <c r="F877" s="24"/>
      <c r="G877" s="24"/>
      <c r="H877" s="24"/>
      <c r="I877" s="24"/>
      <c r="J877" s="55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2.75" x14ac:dyDescent="0.2">
      <c r="A878" s="24"/>
      <c r="B878" s="24"/>
      <c r="C878" s="24"/>
      <c r="D878" s="24"/>
      <c r="E878" s="24"/>
      <c r="F878" s="24"/>
      <c r="G878" s="24"/>
      <c r="H878" s="24"/>
      <c r="I878" s="24"/>
      <c r="J878" s="55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2.75" x14ac:dyDescent="0.2">
      <c r="A879" s="24"/>
      <c r="B879" s="24"/>
      <c r="C879" s="24"/>
      <c r="D879" s="24"/>
      <c r="E879" s="24"/>
      <c r="F879" s="24"/>
      <c r="G879" s="24"/>
      <c r="H879" s="24"/>
      <c r="I879" s="24"/>
      <c r="J879" s="55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2.75" x14ac:dyDescent="0.2">
      <c r="A880" s="24"/>
      <c r="B880" s="24"/>
      <c r="C880" s="24"/>
      <c r="D880" s="24"/>
      <c r="E880" s="24"/>
      <c r="F880" s="24"/>
      <c r="G880" s="24"/>
      <c r="H880" s="24"/>
      <c r="I880" s="24"/>
      <c r="J880" s="55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2.75" x14ac:dyDescent="0.2">
      <c r="A881" s="24"/>
      <c r="B881" s="24"/>
      <c r="C881" s="24"/>
      <c r="D881" s="24"/>
      <c r="E881" s="24"/>
      <c r="F881" s="24"/>
      <c r="G881" s="24"/>
      <c r="H881" s="24"/>
      <c r="I881" s="24"/>
      <c r="J881" s="55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2.75" x14ac:dyDescent="0.2">
      <c r="A882" s="24"/>
      <c r="B882" s="24"/>
      <c r="C882" s="24"/>
      <c r="D882" s="24"/>
      <c r="E882" s="24"/>
      <c r="F882" s="24"/>
      <c r="G882" s="24"/>
      <c r="H882" s="24"/>
      <c r="I882" s="24"/>
      <c r="J882" s="55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2.75" x14ac:dyDescent="0.2">
      <c r="A883" s="24"/>
      <c r="B883" s="24"/>
      <c r="C883" s="24"/>
      <c r="D883" s="24"/>
      <c r="E883" s="24"/>
      <c r="F883" s="24"/>
      <c r="G883" s="24"/>
      <c r="H883" s="24"/>
      <c r="I883" s="24"/>
      <c r="J883" s="55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2.75" x14ac:dyDescent="0.2">
      <c r="A884" s="24"/>
      <c r="B884" s="24"/>
      <c r="C884" s="24"/>
      <c r="D884" s="24"/>
      <c r="E884" s="24"/>
      <c r="F884" s="24"/>
      <c r="G884" s="24"/>
      <c r="H884" s="24"/>
      <c r="I884" s="24"/>
      <c r="J884" s="55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2.75" x14ac:dyDescent="0.2">
      <c r="A885" s="24"/>
      <c r="B885" s="24"/>
      <c r="C885" s="24"/>
      <c r="D885" s="24"/>
      <c r="E885" s="24"/>
      <c r="F885" s="24"/>
      <c r="G885" s="24"/>
      <c r="H885" s="24"/>
      <c r="I885" s="24"/>
      <c r="J885" s="55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2.75" x14ac:dyDescent="0.2">
      <c r="A886" s="24"/>
      <c r="B886" s="24"/>
      <c r="C886" s="24"/>
      <c r="D886" s="24"/>
      <c r="E886" s="24"/>
      <c r="F886" s="24"/>
      <c r="G886" s="24"/>
      <c r="H886" s="24"/>
      <c r="I886" s="24"/>
      <c r="J886" s="55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2.75" x14ac:dyDescent="0.2">
      <c r="A887" s="24"/>
      <c r="B887" s="24"/>
      <c r="C887" s="24"/>
      <c r="D887" s="24"/>
      <c r="E887" s="24"/>
      <c r="F887" s="24"/>
      <c r="G887" s="24"/>
      <c r="H887" s="24"/>
      <c r="I887" s="24"/>
      <c r="J887" s="55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2.75" x14ac:dyDescent="0.2">
      <c r="A888" s="24"/>
      <c r="B888" s="24"/>
      <c r="C888" s="24"/>
      <c r="D888" s="24"/>
      <c r="E888" s="24"/>
      <c r="F888" s="24"/>
      <c r="G888" s="24"/>
      <c r="H888" s="24"/>
      <c r="I888" s="24"/>
      <c r="J888" s="55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2.75" x14ac:dyDescent="0.2">
      <c r="A889" s="24"/>
      <c r="B889" s="24"/>
      <c r="C889" s="24"/>
      <c r="D889" s="24"/>
      <c r="E889" s="24"/>
      <c r="F889" s="24"/>
      <c r="G889" s="24"/>
      <c r="H889" s="24"/>
      <c r="I889" s="24"/>
      <c r="J889" s="55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2.75" x14ac:dyDescent="0.2">
      <c r="A890" s="24"/>
      <c r="B890" s="24"/>
      <c r="C890" s="24"/>
      <c r="D890" s="24"/>
      <c r="E890" s="24"/>
      <c r="F890" s="24"/>
      <c r="G890" s="24"/>
      <c r="H890" s="24"/>
      <c r="I890" s="24"/>
      <c r="J890" s="55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2.75" x14ac:dyDescent="0.2">
      <c r="A891" s="24"/>
      <c r="B891" s="24"/>
      <c r="C891" s="24"/>
      <c r="D891" s="24"/>
      <c r="E891" s="24"/>
      <c r="F891" s="24"/>
      <c r="G891" s="24"/>
      <c r="H891" s="24"/>
      <c r="I891" s="24"/>
      <c r="J891" s="55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2.75" x14ac:dyDescent="0.2">
      <c r="A892" s="24"/>
      <c r="B892" s="24"/>
      <c r="C892" s="24"/>
      <c r="D892" s="24"/>
      <c r="E892" s="24"/>
      <c r="F892" s="24"/>
      <c r="G892" s="24"/>
      <c r="H892" s="24"/>
      <c r="I892" s="24"/>
      <c r="J892" s="55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2.75" x14ac:dyDescent="0.2">
      <c r="A893" s="24"/>
      <c r="B893" s="24"/>
      <c r="C893" s="24"/>
      <c r="D893" s="24"/>
      <c r="E893" s="24"/>
      <c r="F893" s="24"/>
      <c r="G893" s="24"/>
      <c r="H893" s="24"/>
      <c r="I893" s="24"/>
      <c r="J893" s="55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2.75" x14ac:dyDescent="0.2">
      <c r="A894" s="24"/>
      <c r="B894" s="24"/>
      <c r="C894" s="24"/>
      <c r="D894" s="24"/>
      <c r="E894" s="24"/>
      <c r="F894" s="24"/>
      <c r="G894" s="24"/>
      <c r="H894" s="24"/>
      <c r="I894" s="24"/>
      <c r="J894" s="55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2.75" x14ac:dyDescent="0.2">
      <c r="A895" s="24"/>
      <c r="B895" s="24"/>
      <c r="C895" s="24"/>
      <c r="D895" s="24"/>
      <c r="E895" s="24"/>
      <c r="F895" s="24"/>
      <c r="G895" s="24"/>
      <c r="H895" s="24"/>
      <c r="I895" s="24"/>
      <c r="J895" s="55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2.75" x14ac:dyDescent="0.2">
      <c r="A896" s="24"/>
      <c r="B896" s="24"/>
      <c r="C896" s="24"/>
      <c r="D896" s="24"/>
      <c r="E896" s="24"/>
      <c r="F896" s="24"/>
      <c r="G896" s="24"/>
      <c r="H896" s="24"/>
      <c r="I896" s="24"/>
      <c r="J896" s="55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ht="12.75" x14ac:dyDescent="0.2">
      <c r="A897" s="24"/>
      <c r="B897" s="24"/>
      <c r="C897" s="24"/>
      <c r="D897" s="24"/>
      <c r="E897" s="24"/>
      <c r="F897" s="24"/>
      <c r="G897" s="24"/>
      <c r="H897" s="24"/>
      <c r="I897" s="24"/>
      <c r="J897" s="55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ht="12.75" x14ac:dyDescent="0.2">
      <c r="A898" s="24"/>
      <c r="B898" s="24"/>
      <c r="C898" s="24"/>
      <c r="D898" s="24"/>
      <c r="E898" s="24"/>
      <c r="F898" s="24"/>
      <c r="G898" s="24"/>
      <c r="H898" s="24"/>
      <c r="I898" s="24"/>
      <c r="J898" s="55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ht="12.75" x14ac:dyDescent="0.2">
      <c r="A899" s="24"/>
      <c r="B899" s="24"/>
      <c r="C899" s="24"/>
      <c r="D899" s="24"/>
      <c r="E899" s="24"/>
      <c r="F899" s="24"/>
      <c r="G899" s="24"/>
      <c r="H899" s="24"/>
      <c r="I899" s="24"/>
      <c r="J899" s="55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ht="12.75" x14ac:dyDescent="0.2">
      <c r="A900" s="24"/>
      <c r="B900" s="24"/>
      <c r="C900" s="24"/>
      <c r="D900" s="24"/>
      <c r="E900" s="24"/>
      <c r="F900" s="24"/>
      <c r="G900" s="24"/>
      <c r="H900" s="24"/>
      <c r="I900" s="24"/>
      <c r="J900" s="55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ht="12.75" x14ac:dyDescent="0.2">
      <c r="A901" s="24"/>
      <c r="B901" s="24"/>
      <c r="C901" s="24"/>
      <c r="D901" s="24"/>
      <c r="E901" s="24"/>
      <c r="F901" s="24"/>
      <c r="G901" s="24"/>
      <c r="H901" s="24"/>
      <c r="I901" s="24"/>
      <c r="J901" s="55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ht="12.75" x14ac:dyDescent="0.2">
      <c r="A902" s="24"/>
      <c r="B902" s="24"/>
      <c r="C902" s="24"/>
      <c r="D902" s="24"/>
      <c r="E902" s="24"/>
      <c r="F902" s="24"/>
      <c r="G902" s="24"/>
      <c r="H902" s="24"/>
      <c r="I902" s="24"/>
      <c r="J902" s="55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ht="12.75" x14ac:dyDescent="0.2">
      <c r="A903" s="24"/>
      <c r="B903" s="24"/>
      <c r="C903" s="24"/>
      <c r="D903" s="24"/>
      <c r="E903" s="24"/>
      <c r="F903" s="24"/>
      <c r="G903" s="24"/>
      <c r="H903" s="24"/>
      <c r="I903" s="24"/>
      <c r="J903" s="55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ht="12.75" x14ac:dyDescent="0.2">
      <c r="A904" s="24"/>
      <c r="B904" s="24"/>
      <c r="C904" s="24"/>
      <c r="D904" s="24"/>
      <c r="E904" s="24"/>
      <c r="F904" s="24"/>
      <c r="G904" s="24"/>
      <c r="H904" s="24"/>
      <c r="I904" s="24"/>
      <c r="J904" s="55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ht="12.75" x14ac:dyDescent="0.2">
      <c r="A905" s="24"/>
      <c r="B905" s="24"/>
      <c r="C905" s="24"/>
      <c r="D905" s="24"/>
      <c r="E905" s="24"/>
      <c r="F905" s="24"/>
      <c r="G905" s="24"/>
      <c r="H905" s="24"/>
      <c r="I905" s="24"/>
      <c r="J905" s="55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ht="12.75" x14ac:dyDescent="0.2">
      <c r="A906" s="24"/>
      <c r="B906" s="24"/>
      <c r="C906" s="24"/>
      <c r="D906" s="24"/>
      <c r="E906" s="24"/>
      <c r="F906" s="24"/>
      <c r="G906" s="24"/>
      <c r="H906" s="24"/>
      <c r="I906" s="24"/>
      <c r="J906" s="55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ht="12.75" x14ac:dyDescent="0.2">
      <c r="A907" s="24"/>
      <c r="B907" s="24"/>
      <c r="C907" s="24"/>
      <c r="D907" s="24"/>
      <c r="E907" s="24"/>
      <c r="F907" s="24"/>
      <c r="G907" s="24"/>
      <c r="H907" s="24"/>
      <c r="I907" s="24"/>
      <c r="J907" s="55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ht="12.75" x14ac:dyDescent="0.2">
      <c r="A908" s="24"/>
      <c r="B908" s="24"/>
      <c r="C908" s="24"/>
      <c r="D908" s="24"/>
      <c r="E908" s="24"/>
      <c r="F908" s="24"/>
      <c r="G908" s="24"/>
      <c r="H908" s="24"/>
      <c r="I908" s="24"/>
      <c r="J908" s="55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ht="12.75" x14ac:dyDescent="0.2">
      <c r="A909" s="24"/>
      <c r="B909" s="24"/>
      <c r="C909" s="24"/>
      <c r="D909" s="24"/>
      <c r="E909" s="24"/>
      <c r="F909" s="24"/>
      <c r="G909" s="24"/>
      <c r="H909" s="24"/>
      <c r="I909" s="24"/>
      <c r="J909" s="55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ht="12.75" x14ac:dyDescent="0.2">
      <c r="A910" s="24"/>
      <c r="B910" s="24"/>
      <c r="C910" s="24"/>
      <c r="D910" s="24"/>
      <c r="E910" s="24"/>
      <c r="F910" s="24"/>
      <c r="G910" s="24"/>
      <c r="H910" s="24"/>
      <c r="I910" s="24"/>
      <c r="J910" s="55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ht="12.75" x14ac:dyDescent="0.2">
      <c r="A911" s="24"/>
      <c r="B911" s="24"/>
      <c r="C911" s="24"/>
      <c r="D911" s="24"/>
      <c r="E911" s="24"/>
      <c r="F911" s="24"/>
      <c r="G911" s="24"/>
      <c r="H911" s="24"/>
      <c r="I911" s="24"/>
      <c r="J911" s="55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ht="12.75" x14ac:dyDescent="0.2">
      <c r="A912" s="24"/>
      <c r="B912" s="24"/>
      <c r="C912" s="24"/>
      <c r="D912" s="24"/>
      <c r="E912" s="24"/>
      <c r="F912" s="24"/>
      <c r="G912" s="24"/>
      <c r="H912" s="24"/>
      <c r="I912" s="24"/>
      <c r="J912" s="55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ht="12.75" x14ac:dyDescent="0.2">
      <c r="A913" s="24"/>
      <c r="B913" s="24"/>
      <c r="C913" s="24"/>
      <c r="D913" s="24"/>
      <c r="E913" s="24"/>
      <c r="F913" s="24"/>
      <c r="G913" s="24"/>
      <c r="H913" s="24"/>
      <c r="I913" s="24"/>
      <c r="J913" s="55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ht="12.75" x14ac:dyDescent="0.2">
      <c r="A914" s="24"/>
      <c r="B914" s="24"/>
      <c r="C914" s="24"/>
      <c r="D914" s="24"/>
      <c r="E914" s="24"/>
      <c r="F914" s="24"/>
      <c r="G914" s="24"/>
      <c r="H914" s="24"/>
      <c r="I914" s="24"/>
      <c r="J914" s="55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ht="12.75" x14ac:dyDescent="0.2">
      <c r="A915" s="24"/>
      <c r="B915" s="24"/>
      <c r="C915" s="24"/>
      <c r="D915" s="24"/>
      <c r="E915" s="24"/>
      <c r="F915" s="24"/>
      <c r="G915" s="24"/>
      <c r="H915" s="24"/>
      <c r="I915" s="24"/>
      <c r="J915" s="55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ht="12.75" x14ac:dyDescent="0.2">
      <c r="A916" s="24"/>
      <c r="B916" s="24"/>
      <c r="C916" s="24"/>
      <c r="D916" s="24"/>
      <c r="E916" s="24"/>
      <c r="F916" s="24"/>
      <c r="G916" s="24"/>
      <c r="H916" s="24"/>
      <c r="I916" s="24"/>
      <c r="J916" s="55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ht="12.75" x14ac:dyDescent="0.2">
      <c r="A917" s="24"/>
      <c r="B917" s="24"/>
      <c r="C917" s="24"/>
      <c r="D917" s="24"/>
      <c r="E917" s="24"/>
      <c r="F917" s="24"/>
      <c r="G917" s="24"/>
      <c r="H917" s="24"/>
      <c r="I917" s="24"/>
      <c r="J917" s="55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ht="12.75" x14ac:dyDescent="0.2">
      <c r="A918" s="24"/>
      <c r="B918" s="24"/>
      <c r="C918" s="24"/>
      <c r="D918" s="24"/>
      <c r="E918" s="24"/>
      <c r="F918" s="24"/>
      <c r="G918" s="24"/>
      <c r="H918" s="24"/>
      <c r="I918" s="24"/>
      <c r="J918" s="55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ht="12.75" x14ac:dyDescent="0.2">
      <c r="A919" s="24"/>
      <c r="B919" s="24"/>
      <c r="C919" s="24"/>
      <c r="D919" s="24"/>
      <c r="E919" s="24"/>
      <c r="F919" s="24"/>
      <c r="G919" s="24"/>
      <c r="H919" s="24"/>
      <c r="I919" s="24"/>
      <c r="J919" s="55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ht="12.75" x14ac:dyDescent="0.2">
      <c r="A920" s="24"/>
      <c r="B920" s="24"/>
      <c r="C920" s="24"/>
      <c r="D920" s="24"/>
      <c r="E920" s="24"/>
      <c r="F920" s="24"/>
      <c r="G920" s="24"/>
      <c r="H920" s="24"/>
      <c r="I920" s="24"/>
      <c r="J920" s="55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ht="12.75" x14ac:dyDescent="0.2">
      <c r="A921" s="24"/>
      <c r="B921" s="24"/>
      <c r="C921" s="24"/>
      <c r="D921" s="24"/>
      <c r="E921" s="24"/>
      <c r="F921" s="24"/>
      <c r="G921" s="24"/>
      <c r="H921" s="24"/>
      <c r="I921" s="24"/>
      <c r="J921" s="55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ht="12.75" x14ac:dyDescent="0.2">
      <c r="A922" s="24"/>
      <c r="B922" s="24"/>
      <c r="C922" s="24"/>
      <c r="D922" s="24"/>
      <c r="E922" s="24"/>
      <c r="F922" s="24"/>
      <c r="G922" s="24"/>
      <c r="H922" s="24"/>
      <c r="I922" s="24"/>
      <c r="J922" s="55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ht="12.75" x14ac:dyDescent="0.2">
      <c r="A923" s="24"/>
      <c r="B923" s="24"/>
      <c r="C923" s="24"/>
      <c r="D923" s="24"/>
      <c r="E923" s="24"/>
      <c r="F923" s="24"/>
      <c r="G923" s="24"/>
      <c r="H923" s="24"/>
      <c r="I923" s="24"/>
      <c r="J923" s="55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ht="12.75" x14ac:dyDescent="0.2">
      <c r="A924" s="24"/>
      <c r="B924" s="24"/>
      <c r="C924" s="24"/>
      <c r="D924" s="24"/>
      <c r="E924" s="24"/>
      <c r="F924" s="24"/>
      <c r="G924" s="24"/>
      <c r="H924" s="24"/>
      <c r="I924" s="24"/>
      <c r="J924" s="55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ht="12.75" x14ac:dyDescent="0.2">
      <c r="A925" s="24"/>
      <c r="B925" s="24"/>
      <c r="C925" s="24"/>
      <c r="D925" s="24"/>
      <c r="E925" s="24"/>
      <c r="F925" s="24"/>
      <c r="G925" s="24"/>
      <c r="H925" s="24"/>
      <c r="I925" s="24"/>
      <c r="J925" s="55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ht="12.75" x14ac:dyDescent="0.2">
      <c r="A926" s="24"/>
      <c r="B926" s="24"/>
      <c r="C926" s="24"/>
      <c r="D926" s="24"/>
      <c r="E926" s="24"/>
      <c r="F926" s="24"/>
      <c r="G926" s="24"/>
      <c r="H926" s="24"/>
      <c r="I926" s="24"/>
      <c r="J926" s="55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ht="12.75" x14ac:dyDescent="0.2">
      <c r="A927" s="24"/>
      <c r="B927" s="24"/>
      <c r="C927" s="24"/>
      <c r="D927" s="24"/>
      <c r="E927" s="24"/>
      <c r="F927" s="24"/>
      <c r="G927" s="24"/>
      <c r="H927" s="24"/>
      <c r="I927" s="24"/>
      <c r="J927" s="55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ht="12.75" x14ac:dyDescent="0.2">
      <c r="A928" s="24"/>
      <c r="B928" s="24"/>
      <c r="C928" s="24"/>
      <c r="D928" s="24"/>
      <c r="E928" s="24"/>
      <c r="F928" s="24"/>
      <c r="G928" s="24"/>
      <c r="H928" s="24"/>
      <c r="I928" s="24"/>
      <c r="J928" s="55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ht="12.75" x14ac:dyDescent="0.2">
      <c r="A929" s="24"/>
      <c r="B929" s="24"/>
      <c r="C929" s="24"/>
      <c r="D929" s="24"/>
      <c r="E929" s="24"/>
      <c r="F929" s="24"/>
      <c r="G929" s="24"/>
      <c r="H929" s="24"/>
      <c r="I929" s="24"/>
      <c r="J929" s="55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ht="12.75" x14ac:dyDescent="0.2">
      <c r="A930" s="24"/>
      <c r="B930" s="24"/>
      <c r="C930" s="24"/>
      <c r="D930" s="24"/>
      <c r="E930" s="24"/>
      <c r="F930" s="24"/>
      <c r="G930" s="24"/>
      <c r="H930" s="24"/>
      <c r="I930" s="24"/>
      <c r="J930" s="55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ht="12.75" x14ac:dyDescent="0.2">
      <c r="A931" s="24"/>
      <c r="B931" s="24"/>
      <c r="C931" s="24"/>
      <c r="D931" s="24"/>
      <c r="E931" s="24"/>
      <c r="F931" s="24"/>
      <c r="G931" s="24"/>
      <c r="H931" s="24"/>
      <c r="I931" s="24"/>
      <c r="J931" s="55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ht="12.75" x14ac:dyDescent="0.2">
      <c r="A932" s="24"/>
      <c r="B932" s="24"/>
      <c r="C932" s="24"/>
      <c r="D932" s="24"/>
      <c r="E932" s="24"/>
      <c r="F932" s="24"/>
      <c r="G932" s="24"/>
      <c r="H932" s="24"/>
      <c r="I932" s="24"/>
      <c r="J932" s="55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ht="12.75" x14ac:dyDescent="0.2">
      <c r="A933" s="24"/>
      <c r="B933" s="24"/>
      <c r="C933" s="24"/>
      <c r="D933" s="24"/>
      <c r="E933" s="24"/>
      <c r="F933" s="24"/>
      <c r="G933" s="24"/>
      <c r="H933" s="24"/>
      <c r="I933" s="24"/>
      <c r="J933" s="55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ht="12.75" x14ac:dyDescent="0.2">
      <c r="A934" s="24"/>
      <c r="B934" s="24"/>
      <c r="C934" s="24"/>
      <c r="D934" s="24"/>
      <c r="E934" s="24"/>
      <c r="F934" s="24"/>
      <c r="G934" s="24"/>
      <c r="H934" s="24"/>
      <c r="I934" s="24"/>
      <c r="J934" s="55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ht="12.75" x14ac:dyDescent="0.2">
      <c r="A935" s="24"/>
      <c r="B935" s="24"/>
      <c r="C935" s="24"/>
      <c r="D935" s="24"/>
      <c r="E935" s="24"/>
      <c r="F935" s="24"/>
      <c r="G935" s="24"/>
      <c r="H935" s="24"/>
      <c r="I935" s="24"/>
      <c r="J935" s="55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ht="12.75" x14ac:dyDescent="0.2">
      <c r="A936" s="24"/>
      <c r="B936" s="24"/>
      <c r="C936" s="24"/>
      <c r="D936" s="24"/>
      <c r="E936" s="24"/>
      <c r="F936" s="24"/>
      <c r="G936" s="24"/>
      <c r="H936" s="24"/>
      <c r="I936" s="24"/>
      <c r="J936" s="55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ht="12.75" x14ac:dyDescent="0.2">
      <c r="A937" s="24"/>
      <c r="B937" s="24"/>
      <c r="C937" s="24"/>
      <c r="D937" s="24"/>
      <c r="E937" s="24"/>
      <c r="F937" s="24"/>
      <c r="G937" s="24"/>
      <c r="H937" s="24"/>
      <c r="I937" s="24"/>
      <c r="J937" s="55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ht="12.75" x14ac:dyDescent="0.2">
      <c r="A938" s="24"/>
      <c r="B938" s="24"/>
      <c r="C938" s="24"/>
      <c r="D938" s="24"/>
      <c r="E938" s="24"/>
      <c r="F938" s="24"/>
      <c r="G938" s="24"/>
      <c r="H938" s="24"/>
      <c r="I938" s="24"/>
      <c r="J938" s="55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ht="12.75" x14ac:dyDescent="0.2">
      <c r="A939" s="24"/>
      <c r="B939" s="24"/>
      <c r="C939" s="24"/>
      <c r="D939" s="24"/>
      <c r="E939" s="24"/>
      <c r="F939" s="24"/>
      <c r="G939" s="24"/>
      <c r="H939" s="24"/>
      <c r="I939" s="24"/>
      <c r="J939" s="55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ht="12.75" x14ac:dyDescent="0.2">
      <c r="A940" s="24"/>
      <c r="B940" s="24"/>
      <c r="C940" s="24"/>
      <c r="D940" s="24"/>
      <c r="E940" s="24"/>
      <c r="F940" s="24"/>
      <c r="G940" s="24"/>
      <c r="H940" s="24"/>
      <c r="I940" s="24"/>
      <c r="J940" s="55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ht="12.75" x14ac:dyDescent="0.2">
      <c r="A941" s="24"/>
      <c r="B941" s="24"/>
      <c r="C941" s="24"/>
      <c r="D941" s="24"/>
      <c r="E941" s="24"/>
      <c r="F941" s="24"/>
      <c r="G941" s="24"/>
      <c r="H941" s="24"/>
      <c r="I941" s="24"/>
      <c r="J941" s="55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ht="12.75" x14ac:dyDescent="0.2">
      <c r="A942" s="24"/>
      <c r="B942" s="24"/>
      <c r="C942" s="24"/>
      <c r="D942" s="24"/>
      <c r="E942" s="24"/>
      <c r="F942" s="24"/>
      <c r="G942" s="24"/>
      <c r="H942" s="24"/>
      <c r="I942" s="24"/>
      <c r="J942" s="55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ht="12.75" x14ac:dyDescent="0.2">
      <c r="A943" s="24"/>
      <c r="B943" s="24"/>
      <c r="C943" s="24"/>
      <c r="D943" s="24"/>
      <c r="E943" s="24"/>
      <c r="F943" s="24"/>
      <c r="G943" s="24"/>
      <c r="H943" s="24"/>
      <c r="I943" s="24"/>
      <c r="J943" s="55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ht="12.75" x14ac:dyDescent="0.2">
      <c r="A944" s="24"/>
      <c r="B944" s="24"/>
      <c r="C944" s="24"/>
      <c r="D944" s="24"/>
      <c r="E944" s="24"/>
      <c r="F944" s="24"/>
      <c r="G944" s="24"/>
      <c r="H944" s="24"/>
      <c r="I944" s="24"/>
      <c r="J944" s="55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ht="12.75" x14ac:dyDescent="0.2">
      <c r="A945" s="24"/>
      <c r="B945" s="24"/>
      <c r="C945" s="24"/>
      <c r="D945" s="24"/>
      <c r="E945" s="24"/>
      <c r="F945" s="24"/>
      <c r="G945" s="24"/>
      <c r="H945" s="24"/>
      <c r="I945" s="24"/>
      <c r="J945" s="55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ht="12.75" x14ac:dyDescent="0.2">
      <c r="A946" s="24"/>
      <c r="B946" s="24"/>
      <c r="C946" s="24"/>
      <c r="D946" s="24"/>
      <c r="E946" s="24"/>
      <c r="F946" s="24"/>
      <c r="G946" s="24"/>
      <c r="H946" s="24"/>
      <c r="I946" s="24"/>
      <c r="J946" s="55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ht="12.75" x14ac:dyDescent="0.2">
      <c r="A947" s="24"/>
      <c r="B947" s="24"/>
      <c r="C947" s="24"/>
      <c r="D947" s="24"/>
      <c r="E947" s="24"/>
      <c r="F947" s="24"/>
      <c r="G947" s="24"/>
      <c r="H947" s="24"/>
      <c r="I947" s="24"/>
      <c r="J947" s="55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ht="12.75" x14ac:dyDescent="0.2">
      <c r="A948" s="24"/>
      <c r="B948" s="24"/>
      <c r="C948" s="24"/>
      <c r="D948" s="24"/>
      <c r="E948" s="24"/>
      <c r="F948" s="24"/>
      <c r="G948" s="24"/>
      <c r="H948" s="24"/>
      <c r="I948" s="24"/>
      <c r="J948" s="55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ht="12.75" x14ac:dyDescent="0.2">
      <c r="A949" s="24"/>
      <c r="B949" s="24"/>
      <c r="C949" s="24"/>
      <c r="D949" s="24"/>
      <c r="E949" s="24"/>
      <c r="F949" s="24"/>
      <c r="G949" s="24"/>
      <c r="H949" s="24"/>
      <c r="I949" s="24"/>
      <c r="J949" s="55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ht="12.75" x14ac:dyDescent="0.2">
      <c r="A950" s="24"/>
      <c r="B950" s="24"/>
      <c r="C950" s="24"/>
      <c r="D950" s="24"/>
      <c r="E950" s="24"/>
      <c r="F950" s="24"/>
      <c r="G950" s="24"/>
      <c r="H950" s="24"/>
      <c r="I950" s="24"/>
      <c r="J950" s="55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ht="12.75" x14ac:dyDescent="0.2">
      <c r="A951" s="24"/>
      <c r="B951" s="24"/>
      <c r="C951" s="24"/>
      <c r="D951" s="24"/>
      <c r="E951" s="24"/>
      <c r="F951" s="24"/>
      <c r="G951" s="24"/>
      <c r="H951" s="24"/>
      <c r="I951" s="24"/>
      <c r="J951" s="55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ht="12.75" x14ac:dyDescent="0.2">
      <c r="A952" s="24"/>
      <c r="B952" s="24"/>
      <c r="C952" s="24"/>
      <c r="D952" s="24"/>
      <c r="E952" s="24"/>
      <c r="F952" s="24"/>
      <c r="G952" s="24"/>
      <c r="H952" s="24"/>
      <c r="I952" s="24"/>
      <c r="J952" s="55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ht="12.75" x14ac:dyDescent="0.2">
      <c r="A953" s="24"/>
      <c r="B953" s="24"/>
      <c r="C953" s="24"/>
      <c r="D953" s="24"/>
      <c r="E953" s="24"/>
      <c r="F953" s="24"/>
      <c r="G953" s="24"/>
      <c r="H953" s="24"/>
      <c r="I953" s="24"/>
      <c r="J953" s="55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ht="12.75" x14ac:dyDescent="0.2">
      <c r="A954" s="24"/>
      <c r="B954" s="24"/>
      <c r="C954" s="24"/>
      <c r="D954" s="24"/>
      <c r="E954" s="24"/>
      <c r="F954" s="24"/>
      <c r="G954" s="24"/>
      <c r="H954" s="24"/>
      <c r="I954" s="24"/>
      <c r="J954" s="55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ht="12.75" x14ac:dyDescent="0.2">
      <c r="A955" s="24"/>
      <c r="B955" s="24"/>
      <c r="C955" s="24"/>
      <c r="D955" s="24"/>
      <c r="E955" s="24"/>
      <c r="F955" s="24"/>
      <c r="G955" s="24"/>
      <c r="H955" s="24"/>
      <c r="I955" s="24"/>
      <c r="J955" s="55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ht="12.75" x14ac:dyDescent="0.2">
      <c r="A956" s="24"/>
      <c r="B956" s="24"/>
      <c r="C956" s="24"/>
      <c r="D956" s="24"/>
      <c r="E956" s="24"/>
      <c r="F956" s="24"/>
      <c r="G956" s="24"/>
      <c r="H956" s="24"/>
      <c r="I956" s="24"/>
      <c r="J956" s="55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ht="12.75" x14ac:dyDescent="0.2">
      <c r="A957" s="24"/>
      <c r="B957" s="24"/>
      <c r="C957" s="24"/>
      <c r="D957" s="24"/>
      <c r="E957" s="24"/>
      <c r="F957" s="24"/>
      <c r="G957" s="24"/>
      <c r="H957" s="24"/>
      <c r="I957" s="24"/>
      <c r="J957" s="55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ht="12.75" x14ac:dyDescent="0.2">
      <c r="A958" s="24"/>
      <c r="B958" s="24"/>
      <c r="C958" s="24"/>
      <c r="D958" s="24"/>
      <c r="E958" s="24"/>
      <c r="F958" s="24"/>
      <c r="G958" s="24"/>
      <c r="H958" s="24"/>
      <c r="I958" s="24"/>
      <c r="J958" s="55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ht="12.75" x14ac:dyDescent="0.2">
      <c r="A959" s="24"/>
      <c r="B959" s="24"/>
      <c r="C959" s="24"/>
      <c r="D959" s="24"/>
      <c r="E959" s="24"/>
      <c r="F959" s="24"/>
      <c r="G959" s="24"/>
      <c r="H959" s="24"/>
      <c r="I959" s="24"/>
      <c r="J959" s="55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ht="12.75" x14ac:dyDescent="0.2">
      <c r="A960" s="24"/>
      <c r="B960" s="24"/>
      <c r="C960" s="24"/>
      <c r="D960" s="24"/>
      <c r="E960" s="24"/>
      <c r="F960" s="24"/>
      <c r="G960" s="24"/>
      <c r="H960" s="24"/>
      <c r="I960" s="24"/>
      <c r="J960" s="55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ht="12.75" x14ac:dyDescent="0.2">
      <c r="A961" s="24"/>
      <c r="B961" s="24"/>
      <c r="C961" s="24"/>
      <c r="D961" s="24"/>
      <c r="E961" s="24"/>
      <c r="F961" s="24"/>
      <c r="G961" s="24"/>
      <c r="H961" s="24"/>
      <c r="I961" s="24"/>
      <c r="J961" s="55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ht="12.75" x14ac:dyDescent="0.2">
      <c r="A962" s="24"/>
      <c r="B962" s="24"/>
      <c r="C962" s="24"/>
      <c r="D962" s="24"/>
      <c r="E962" s="24"/>
      <c r="F962" s="24"/>
      <c r="G962" s="24"/>
      <c r="H962" s="24"/>
      <c r="I962" s="24"/>
      <c r="J962" s="55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ht="12.75" x14ac:dyDescent="0.2">
      <c r="A963" s="24"/>
      <c r="B963" s="24"/>
      <c r="C963" s="24"/>
      <c r="D963" s="24"/>
      <c r="E963" s="24"/>
      <c r="F963" s="24"/>
      <c r="G963" s="24"/>
      <c r="H963" s="24"/>
      <c r="I963" s="24"/>
      <c r="J963" s="55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ht="12.75" x14ac:dyDescent="0.2">
      <c r="A964" s="24"/>
      <c r="B964" s="24"/>
      <c r="C964" s="24"/>
      <c r="D964" s="24"/>
      <c r="E964" s="24"/>
      <c r="F964" s="24"/>
      <c r="G964" s="24"/>
      <c r="H964" s="24"/>
      <c r="I964" s="24"/>
      <c r="J964" s="55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  <row r="965" spans="1:29" ht="12.75" x14ac:dyDescent="0.2">
      <c r="A965" s="24"/>
      <c r="B965" s="24"/>
      <c r="C965" s="24"/>
      <c r="D965" s="24"/>
      <c r="E965" s="24"/>
      <c r="F965" s="24"/>
      <c r="G965" s="24"/>
      <c r="H965" s="24"/>
      <c r="I965" s="24"/>
      <c r="J965" s="55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</row>
  </sheetData>
  <mergeCells count="71">
    <mergeCell ref="A35:B35"/>
    <mergeCell ref="E35:F35"/>
    <mergeCell ref="K35:L35"/>
    <mergeCell ref="A36:A39"/>
    <mergeCell ref="B36:B39"/>
    <mergeCell ref="K36:L36"/>
    <mergeCell ref="K37:L37"/>
    <mergeCell ref="K39:L39"/>
    <mergeCell ref="A30:B30"/>
    <mergeCell ref="E30:F30"/>
    <mergeCell ref="K30:L30"/>
    <mergeCell ref="A31:A33"/>
    <mergeCell ref="B31:B33"/>
    <mergeCell ref="K31:L31"/>
    <mergeCell ref="K32:L32"/>
    <mergeCell ref="K33:L33"/>
    <mergeCell ref="A26:B26"/>
    <mergeCell ref="E26:F26"/>
    <mergeCell ref="K26:L26"/>
    <mergeCell ref="A27:A29"/>
    <mergeCell ref="B27:B29"/>
    <mergeCell ref="K27:L27"/>
    <mergeCell ref="K28:L28"/>
    <mergeCell ref="K29:L29"/>
    <mergeCell ref="A23:B23"/>
    <mergeCell ref="E23:F23"/>
    <mergeCell ref="K23:L23"/>
    <mergeCell ref="A24:A25"/>
    <mergeCell ref="B24:B25"/>
    <mergeCell ref="K24:L24"/>
    <mergeCell ref="K25:L25"/>
    <mergeCell ref="A18:A22"/>
    <mergeCell ref="B18:B22"/>
    <mergeCell ref="K18:L18"/>
    <mergeCell ref="K19:L19"/>
    <mergeCell ref="K20:L20"/>
    <mergeCell ref="K21:L21"/>
    <mergeCell ref="K22:L22"/>
    <mergeCell ref="A14:A16"/>
    <mergeCell ref="B14:B16"/>
    <mergeCell ref="K14:L14"/>
    <mergeCell ref="K15:L15"/>
    <mergeCell ref="K16:L16"/>
    <mergeCell ref="A17:B17"/>
    <mergeCell ref="E17:F17"/>
    <mergeCell ref="K17:L17"/>
    <mergeCell ref="A11:B11"/>
    <mergeCell ref="E11:F11"/>
    <mergeCell ref="K11:L11"/>
    <mergeCell ref="K12:L12"/>
    <mergeCell ref="A13:B13"/>
    <mergeCell ref="E13:F13"/>
    <mergeCell ref="K13:L13"/>
    <mergeCell ref="K6:L6"/>
    <mergeCell ref="A7:B7"/>
    <mergeCell ref="E7:F7"/>
    <mergeCell ref="K7:L7"/>
    <mergeCell ref="A8:A10"/>
    <mergeCell ref="B8:B10"/>
    <mergeCell ref="K8:L8"/>
    <mergeCell ref="K9:L9"/>
    <mergeCell ref="K10:L10"/>
    <mergeCell ref="A1:B5"/>
    <mergeCell ref="C1:D1"/>
    <mergeCell ref="E1:L2"/>
    <mergeCell ref="C2:D2"/>
    <mergeCell ref="C3:D3"/>
    <mergeCell ref="E3:L3"/>
    <mergeCell ref="E4:L4"/>
    <mergeCell ref="E5:F5"/>
    <mergeCell ref="J5:K5"/>
  </mergeCells>
  <conditionalFormatting sqref="F3 F5:F1048576">
    <cfRule type="cellIs" dxfId="5" priority="1" operator="equal">
      <formula>"En Progreso"</formula>
    </cfRule>
    <cfRule type="cellIs" dxfId="4" priority="2" operator="equal">
      <formula>"Listo"</formula>
    </cfRule>
    <cfRule type="cellIs" dxfId="3" priority="3" operator="equal">
      <formula>"Pendiente"</formula>
    </cfRule>
  </conditionalFormatting>
  <dataValidations count="1">
    <dataValidation type="list" allowBlank="1" showInputMessage="1" showErrorMessage="1" prompt="Estado" sqref="F8:F10 F12 F14:F16 F18:F22 F24:F25 F27:F29 F31:F33 F36:F39" xr:uid="{35130A90-D9DF-4CB0-A00F-9E5FAC235D56}">
      <formula1>"Pendiente,En Progreso,Listo"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C965"/>
  <sheetViews>
    <sheetView workbookViewId="0">
      <pane xSplit="4" ySplit="6" topLeftCell="E37" activePane="bottomRight" state="frozen"/>
      <selection pane="topRight" activeCell="E1" sqref="E1"/>
      <selection pane="bottomLeft" activeCell="A7" sqref="A7"/>
      <selection pane="bottomRight" activeCell="E36" sqref="E36"/>
    </sheetView>
  </sheetViews>
  <sheetFormatPr baseColWidth="10" defaultColWidth="12.5703125" defaultRowHeight="15.75" customHeight="1" outlineLevelRow="1" x14ac:dyDescent="0.2"/>
  <cols>
    <col min="1" max="1" width="4.42578125" customWidth="1"/>
    <col min="2" max="2" width="19.7109375" customWidth="1"/>
    <col min="3" max="3" width="58.42578125" customWidth="1"/>
    <col min="4" max="4" width="24.5703125" customWidth="1"/>
    <col min="5" max="5" width="18.5703125" customWidth="1"/>
    <col min="6" max="6" width="17.42578125" customWidth="1"/>
    <col min="7" max="7" width="12.5703125" customWidth="1"/>
    <col min="8" max="8" width="16.7109375" customWidth="1"/>
    <col min="9" max="9" width="14.140625" customWidth="1"/>
    <col min="10" max="10" width="11.28515625" customWidth="1"/>
    <col min="11" max="11" width="23.28515625" customWidth="1"/>
    <col min="12" max="12" width="43.7109375" customWidth="1"/>
  </cols>
  <sheetData>
    <row r="1" spans="1:29" ht="50.25" customHeight="1" thickBot="1" x14ac:dyDescent="0.25">
      <c r="A1" s="141"/>
      <c r="B1" s="142"/>
      <c r="C1" s="144" t="s">
        <v>0</v>
      </c>
      <c r="D1" s="136"/>
      <c r="E1" s="152" t="s">
        <v>1</v>
      </c>
      <c r="F1" s="153"/>
      <c r="G1" s="153"/>
      <c r="H1" s="153"/>
      <c r="I1" s="153"/>
      <c r="J1" s="153"/>
      <c r="K1" s="153"/>
      <c r="L1" s="154"/>
      <c r="M1" s="1"/>
      <c r="N1" s="1"/>
      <c r="O1" s="1"/>
      <c r="P1" s="1"/>
      <c r="Q1" s="1"/>
      <c r="R1" s="1"/>
      <c r="S1" s="1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" customHeight="1" thickBot="1" x14ac:dyDescent="0.25">
      <c r="A2" s="104"/>
      <c r="B2" s="143"/>
      <c r="C2" s="127" t="s">
        <v>2</v>
      </c>
      <c r="D2" s="145"/>
      <c r="E2" s="155"/>
      <c r="F2" s="156"/>
      <c r="G2" s="156"/>
      <c r="H2" s="156"/>
      <c r="I2" s="156"/>
      <c r="J2" s="156"/>
      <c r="K2" s="156"/>
      <c r="L2" s="157"/>
      <c r="M2" s="3"/>
      <c r="N2" s="4"/>
      <c r="O2" s="4"/>
      <c r="P2" s="4"/>
      <c r="Q2" s="4"/>
      <c r="R2" s="4"/>
      <c r="S2" s="4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20.25" customHeight="1" thickBot="1" x14ac:dyDescent="0.25">
      <c r="A3" s="104"/>
      <c r="B3" s="143"/>
      <c r="C3" s="148" t="s">
        <v>3</v>
      </c>
      <c r="D3" s="149"/>
      <c r="E3" s="146" t="str">
        <f>CONCATENATE("Desarrollador: Julio Cesar Calderón responsable del " &amp;TEXT(E43,0%)&amp; "% del desarrollo y Maria Contreras apoyando el " &amp;TEXT(E44,0%)&amp;"%.")</f>
        <v>Desarrollador: Julio Cesar Calderón responsable del 62% del desarrollo y Maria Contreras apoyando el 38%.</v>
      </c>
      <c r="F3" s="147"/>
      <c r="G3" s="147"/>
      <c r="H3" s="147"/>
      <c r="I3" s="147"/>
      <c r="J3" s="147"/>
      <c r="K3" s="147"/>
      <c r="L3" s="147"/>
      <c r="M3" s="1"/>
      <c r="N3" s="1"/>
      <c r="O3" s="1"/>
      <c r="P3" s="1"/>
      <c r="Q3" s="1"/>
      <c r="R3" s="1"/>
      <c r="S3" s="1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.75" customHeight="1" thickBot="1" x14ac:dyDescent="0.25">
      <c r="A4" s="104"/>
      <c r="B4" s="143"/>
      <c r="C4" s="5" t="s">
        <v>5</v>
      </c>
      <c r="D4" s="6">
        <f>D5/8</f>
        <v>16.125</v>
      </c>
      <c r="E4" s="150" t="s">
        <v>4</v>
      </c>
      <c r="F4" s="150"/>
      <c r="G4" s="150"/>
      <c r="H4" s="150"/>
      <c r="I4" s="150"/>
      <c r="J4" s="150"/>
      <c r="K4" s="150"/>
      <c r="L4" s="151"/>
      <c r="M4" s="1"/>
      <c r="N4" s="69"/>
      <c r="O4" s="69"/>
      <c r="P4" s="69"/>
      <c r="Q4" s="69"/>
      <c r="R4" s="69"/>
      <c r="S4" s="69"/>
      <c r="T4" s="69"/>
      <c r="U4" s="69"/>
      <c r="V4" s="69"/>
      <c r="W4" s="2"/>
      <c r="X4" s="2"/>
      <c r="Y4" s="2"/>
      <c r="Z4" s="2"/>
      <c r="AA4" s="2"/>
      <c r="AB4" s="2"/>
      <c r="AC4" s="2"/>
    </row>
    <row r="5" spans="1:29" ht="24" customHeight="1" thickTop="1" thickBot="1" x14ac:dyDescent="0.25">
      <c r="A5" s="105"/>
      <c r="B5" s="140"/>
      <c r="C5" s="7" t="s">
        <v>6</v>
      </c>
      <c r="D5" s="8">
        <f>SUM(D7+D11+D13+D17+D23+D26+D30)</f>
        <v>129</v>
      </c>
      <c r="E5" s="135" t="s">
        <v>7</v>
      </c>
      <c r="F5" s="136"/>
      <c r="G5" s="9">
        <f>SUM(G7+G11+G13+G17+G23+G26)-(I7+I11+I13+I17+I23+I26)</f>
        <v>104.75</v>
      </c>
      <c r="H5" s="10">
        <f>SUM(H7+H11+H13+H17+H23+H26)-(I7+I11+I13+I17+I23+I26)</f>
        <v>5.5</v>
      </c>
      <c r="I5" s="11">
        <f>SUM(I7+I11+I13+I17+I23+I26)-(H7+H11+H13+H17+H23+H26)</f>
        <v>-5.5</v>
      </c>
      <c r="J5" s="137" t="s">
        <v>8</v>
      </c>
      <c r="K5" s="138"/>
      <c r="L5" s="12">
        <f>(100/D5)*G5</f>
        <v>81.20155038759691</v>
      </c>
      <c r="M5" s="4"/>
      <c r="N5" s="69"/>
      <c r="O5" s="69"/>
      <c r="P5" s="69"/>
      <c r="Q5" s="69"/>
      <c r="R5" s="69"/>
      <c r="S5" s="69"/>
      <c r="T5" s="69"/>
      <c r="U5" s="69"/>
      <c r="V5" s="69"/>
      <c r="W5" s="2"/>
      <c r="X5" s="2"/>
      <c r="Y5" s="2"/>
      <c r="Z5" s="2"/>
      <c r="AA5" s="2"/>
      <c r="AB5" s="2"/>
      <c r="AC5" s="2"/>
    </row>
    <row r="6" spans="1:29" ht="68.25" customHeight="1" thickBot="1" x14ac:dyDescent="0.25">
      <c r="A6" s="13" t="s">
        <v>9</v>
      </c>
      <c r="B6" s="13" t="s">
        <v>10</v>
      </c>
      <c r="C6" s="14" t="s">
        <v>11</v>
      </c>
      <c r="D6" s="15" t="s">
        <v>12</v>
      </c>
      <c r="E6" s="16" t="s">
        <v>76</v>
      </c>
      <c r="F6" s="17" t="s">
        <v>13</v>
      </c>
      <c r="G6" s="18" t="s">
        <v>14</v>
      </c>
      <c r="H6" s="13" t="s">
        <v>15</v>
      </c>
      <c r="I6" s="17" t="s">
        <v>16</v>
      </c>
      <c r="J6" s="17" t="s">
        <v>17</v>
      </c>
      <c r="K6" s="139" t="s">
        <v>18</v>
      </c>
      <c r="L6" s="140"/>
      <c r="M6" s="1"/>
      <c r="N6" s="69"/>
      <c r="O6" s="69"/>
      <c r="P6" s="69"/>
      <c r="Q6" s="69"/>
      <c r="R6" s="69"/>
      <c r="S6" s="69"/>
      <c r="T6" s="69"/>
      <c r="U6" s="69"/>
      <c r="V6" s="69"/>
      <c r="W6" s="2"/>
      <c r="X6" s="2"/>
      <c r="Y6" s="2"/>
      <c r="Z6" s="2"/>
      <c r="AA6" s="2"/>
      <c r="AB6" s="2"/>
      <c r="AC6" s="2"/>
    </row>
    <row r="7" spans="1:29" ht="24.75" customHeight="1" thickBot="1" x14ac:dyDescent="0.25">
      <c r="A7" s="127" t="s">
        <v>19</v>
      </c>
      <c r="B7" s="128"/>
      <c r="C7" s="19" t="s">
        <v>20</v>
      </c>
      <c r="D7" s="20">
        <f>SUM(D8:D10)</f>
        <v>11.5</v>
      </c>
      <c r="E7" s="129"/>
      <c r="F7" s="128"/>
      <c r="G7" s="21">
        <f>SUM(G8:G10)</f>
        <v>12</v>
      </c>
      <c r="H7" s="22">
        <f>SUM(H8:H10)</f>
        <v>0.5</v>
      </c>
      <c r="I7" s="22">
        <f>SUM(I8:I10)</f>
        <v>0</v>
      </c>
      <c r="J7" s="23">
        <f>(100/D7)*((G7+I7)-H7)</f>
        <v>100</v>
      </c>
      <c r="K7" s="118"/>
      <c r="L7" s="100"/>
      <c r="M7" s="4"/>
      <c r="N7" s="69"/>
      <c r="O7" s="69"/>
      <c r="P7" s="69"/>
      <c r="Q7" s="69"/>
      <c r="R7" s="69"/>
      <c r="S7" s="69"/>
      <c r="T7" s="69"/>
      <c r="U7" s="69"/>
      <c r="V7" s="69"/>
      <c r="W7" s="24"/>
      <c r="X7" s="24"/>
      <c r="Y7" s="24"/>
      <c r="Z7" s="24"/>
      <c r="AA7" s="24"/>
      <c r="AB7" s="24"/>
      <c r="AC7" s="24"/>
    </row>
    <row r="8" spans="1:29" ht="25.5" outlineLevel="1" x14ac:dyDescent="0.2">
      <c r="A8" s="130">
        <v>1</v>
      </c>
      <c r="B8" s="130" t="s">
        <v>21</v>
      </c>
      <c r="C8" s="58" t="s">
        <v>22</v>
      </c>
      <c r="D8" s="26">
        <v>3</v>
      </c>
      <c r="E8" s="27" t="s">
        <v>23</v>
      </c>
      <c r="F8" s="28" t="s">
        <v>24</v>
      </c>
      <c r="G8" s="29">
        <v>3</v>
      </c>
      <c r="H8" s="30">
        <f>IF(G8&lt;D8,0,G8-D8)</f>
        <v>0</v>
      </c>
      <c r="I8" s="31">
        <f>IF(AND(G8&lt;D8,F8="Listo"),D8-G8,0)</f>
        <v>0</v>
      </c>
      <c r="J8" s="32">
        <f t="shared" ref="J8:J10" si="0">IF(F8="Listo",100,(100/D8)*(G8-H8))</f>
        <v>100</v>
      </c>
      <c r="K8" s="134"/>
      <c r="L8" s="110"/>
      <c r="M8" s="33"/>
      <c r="N8" s="69"/>
      <c r="O8" s="69"/>
      <c r="P8" s="69"/>
      <c r="Q8" s="69"/>
      <c r="R8" s="69"/>
      <c r="S8" s="69"/>
      <c r="T8" s="69"/>
      <c r="U8" s="69"/>
      <c r="V8" s="69"/>
      <c r="W8" s="24"/>
      <c r="X8" s="24"/>
      <c r="Y8" s="24"/>
      <c r="Z8" s="24"/>
      <c r="AA8" s="24"/>
      <c r="AB8" s="24"/>
      <c r="AC8" s="24"/>
    </row>
    <row r="9" spans="1:29" ht="63.75" customHeight="1" outlineLevel="1" x14ac:dyDescent="0.2">
      <c r="A9" s="131"/>
      <c r="B9" s="131"/>
      <c r="C9" s="58" t="s">
        <v>25</v>
      </c>
      <c r="D9" s="26">
        <v>2.5</v>
      </c>
      <c r="E9" s="27" t="s">
        <v>67</v>
      </c>
      <c r="F9" s="28" t="s">
        <v>24</v>
      </c>
      <c r="G9" s="29">
        <v>3</v>
      </c>
      <c r="H9" s="30">
        <f>IF(G9&lt;D9,0,G9-D9)</f>
        <v>0.5</v>
      </c>
      <c r="I9" s="31">
        <f t="shared" ref="I9:I10" si="1">IF(AND(G9&lt;D9,F9="Listo"),D9-G9,0)</f>
        <v>0</v>
      </c>
      <c r="J9" s="32">
        <f t="shared" si="0"/>
        <v>100</v>
      </c>
      <c r="K9" s="123" t="s">
        <v>68</v>
      </c>
      <c r="L9" s="115"/>
      <c r="M9" s="24"/>
      <c r="N9" s="69"/>
      <c r="O9" s="69"/>
      <c r="P9" s="69"/>
      <c r="Q9" s="69"/>
      <c r="R9" s="69"/>
      <c r="S9" s="69"/>
      <c r="T9" s="69"/>
      <c r="U9" s="69"/>
      <c r="V9" s="69"/>
      <c r="W9" s="24"/>
      <c r="X9" s="24"/>
      <c r="Y9" s="24"/>
      <c r="Z9" s="24"/>
      <c r="AA9" s="24"/>
      <c r="AB9" s="24"/>
      <c r="AC9" s="24"/>
    </row>
    <row r="10" spans="1:29" ht="83.25" customHeight="1" outlineLevel="1" thickBot="1" x14ac:dyDescent="0.25">
      <c r="A10" s="131"/>
      <c r="B10" s="131"/>
      <c r="C10" s="58" t="s">
        <v>27</v>
      </c>
      <c r="D10" s="34">
        <v>6</v>
      </c>
      <c r="E10" s="27" t="s">
        <v>78</v>
      </c>
      <c r="F10" s="28" t="s">
        <v>24</v>
      </c>
      <c r="G10" s="29">
        <v>6</v>
      </c>
      <c r="H10" s="30">
        <f>IF(G10&lt;D10,0,G10-D10)</f>
        <v>0</v>
      </c>
      <c r="I10" s="31">
        <f t="shared" si="1"/>
        <v>0</v>
      </c>
      <c r="J10" s="32">
        <f t="shared" si="0"/>
        <v>100</v>
      </c>
      <c r="K10" s="132" t="s">
        <v>86</v>
      </c>
      <c r="L10" s="133"/>
      <c r="M10" s="4" t="s">
        <v>69</v>
      </c>
      <c r="N10" s="69"/>
      <c r="O10" s="69"/>
      <c r="P10" s="69"/>
      <c r="Q10" s="69"/>
      <c r="R10" s="69"/>
      <c r="S10" s="69"/>
      <c r="T10" s="69"/>
      <c r="U10" s="69"/>
      <c r="V10" s="69"/>
      <c r="W10" s="24"/>
      <c r="X10" s="24"/>
      <c r="Y10" s="24"/>
      <c r="Z10" s="24"/>
      <c r="AA10" s="24"/>
      <c r="AB10" s="24"/>
      <c r="AC10" s="24"/>
    </row>
    <row r="11" spans="1:29" ht="24.75" customHeight="1" thickBot="1" x14ac:dyDescent="0.25">
      <c r="A11" s="127" t="s">
        <v>28</v>
      </c>
      <c r="B11" s="128"/>
      <c r="C11" s="19" t="s">
        <v>29</v>
      </c>
      <c r="D11" s="20">
        <f>SUM(D12)</f>
        <v>8</v>
      </c>
      <c r="E11" s="168"/>
      <c r="F11" s="128"/>
      <c r="G11" s="21">
        <f>G12</f>
        <v>9</v>
      </c>
      <c r="H11" s="22">
        <f>SUM(H12)</f>
        <v>1</v>
      </c>
      <c r="I11" s="22">
        <f>SUM(I12:I12)</f>
        <v>0</v>
      </c>
      <c r="J11" s="23">
        <f>(100/D11)*((G11+I11)-H11)</f>
        <v>100</v>
      </c>
      <c r="K11" s="118"/>
      <c r="L11" s="100"/>
      <c r="M11" s="24"/>
      <c r="N11" s="69"/>
      <c r="O11" s="69"/>
      <c r="P11" s="69"/>
      <c r="Q11" s="69"/>
      <c r="R11" s="69"/>
      <c r="S11" s="69"/>
      <c r="T11" s="69"/>
      <c r="U11" s="69"/>
      <c r="V11" s="69"/>
      <c r="W11" s="24"/>
      <c r="X11" s="24"/>
      <c r="Y11" s="24"/>
      <c r="Z11" s="24"/>
      <c r="AA11" s="24"/>
      <c r="AB11" s="24"/>
      <c r="AC11" s="24"/>
    </row>
    <row r="12" spans="1:29" ht="39" outlineLevel="1" thickBot="1" x14ac:dyDescent="0.25">
      <c r="A12" s="25">
        <v>2</v>
      </c>
      <c r="B12" s="25" t="s">
        <v>30</v>
      </c>
      <c r="C12" s="57" t="s">
        <v>31</v>
      </c>
      <c r="D12" s="34">
        <v>8</v>
      </c>
      <c r="E12" s="68" t="s">
        <v>75</v>
      </c>
      <c r="F12" s="28" t="s">
        <v>24</v>
      </c>
      <c r="G12" s="29">
        <v>9</v>
      </c>
      <c r="H12" s="30">
        <f>IF(G12&lt;D12,0,G12-D12)</f>
        <v>1</v>
      </c>
      <c r="I12" s="31">
        <f>IF(AND(G12&lt;D12,F12="Listo"),D12-G12,0)</f>
        <v>0</v>
      </c>
      <c r="J12" s="32">
        <f>IF(F12="Listo",100,(100/D12)*(G12-H12))</f>
        <v>100</v>
      </c>
      <c r="K12" s="119" t="s">
        <v>74</v>
      </c>
      <c r="L12" s="110"/>
      <c r="M12" s="24"/>
      <c r="N12" s="69"/>
      <c r="O12" s="69"/>
      <c r="P12" s="69"/>
      <c r="Q12" s="69"/>
      <c r="R12" s="69"/>
      <c r="S12" s="69"/>
      <c r="T12" s="69"/>
      <c r="U12" s="69"/>
      <c r="V12" s="69"/>
      <c r="W12" s="24"/>
      <c r="X12" s="24"/>
      <c r="Y12" s="24"/>
      <c r="Z12" s="24"/>
      <c r="AA12" s="24"/>
      <c r="AB12" s="24"/>
      <c r="AC12" s="24"/>
    </row>
    <row r="13" spans="1:29" ht="24.75" customHeight="1" thickBot="1" x14ac:dyDescent="0.25">
      <c r="A13" s="127" t="s">
        <v>32</v>
      </c>
      <c r="B13" s="128"/>
      <c r="C13" s="35" t="s">
        <v>33</v>
      </c>
      <c r="D13" s="20">
        <f>SUM(D14:D16)</f>
        <v>32</v>
      </c>
      <c r="E13" s="168"/>
      <c r="F13" s="128"/>
      <c r="G13" s="21">
        <f>SUM(G14:G16)</f>
        <v>38</v>
      </c>
      <c r="H13" s="22">
        <f t="shared" ref="H13" si="2">SUM(H14:H16)</f>
        <v>6</v>
      </c>
      <c r="I13" s="22">
        <f>SUM(I14:I16)</f>
        <v>0</v>
      </c>
      <c r="J13" s="23">
        <f>(100/D13)*((G13+I13)-H13)</f>
        <v>100</v>
      </c>
      <c r="K13" s="120"/>
      <c r="L13" s="100"/>
      <c r="M13" s="24"/>
      <c r="N13" s="69"/>
      <c r="O13" s="69"/>
      <c r="P13" s="69"/>
      <c r="Q13" s="69"/>
      <c r="R13" s="69"/>
      <c r="S13" s="69"/>
      <c r="T13" s="69"/>
      <c r="U13" s="69"/>
      <c r="V13" s="69"/>
      <c r="W13" s="24"/>
      <c r="X13" s="24"/>
      <c r="Y13" s="24"/>
      <c r="Z13" s="24"/>
      <c r="AA13" s="24"/>
      <c r="AB13" s="24"/>
      <c r="AC13" s="24"/>
    </row>
    <row r="14" spans="1:29" ht="25.5" outlineLevel="1" x14ac:dyDescent="0.2">
      <c r="A14" s="159">
        <v>3</v>
      </c>
      <c r="B14" s="169" t="s">
        <v>34</v>
      </c>
      <c r="C14" s="58" t="s">
        <v>35</v>
      </c>
      <c r="D14" s="36">
        <v>20</v>
      </c>
      <c r="E14" s="70" t="s">
        <v>70</v>
      </c>
      <c r="F14" s="28" t="s">
        <v>24</v>
      </c>
      <c r="G14" s="37">
        <v>25</v>
      </c>
      <c r="H14" s="30">
        <f>IF(G14&lt;D14,0,G14-D14)</f>
        <v>5</v>
      </c>
      <c r="I14" s="31">
        <f t="shared" ref="I14:I16" si="3">IF(AND(G14&lt;D14,F14="Listo"),D14-G14,0)</f>
        <v>0</v>
      </c>
      <c r="J14" s="32">
        <f t="shared" ref="J14:J16" si="4">IF(F14="Listo",100,(100/D14)*(G14-H14))</f>
        <v>100</v>
      </c>
      <c r="K14" s="121" t="s">
        <v>73</v>
      </c>
      <c r="L14" s="122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5.5" outlineLevel="1" x14ac:dyDescent="0.2">
      <c r="A15" s="160"/>
      <c r="B15" s="170"/>
      <c r="C15" s="58" t="s">
        <v>36</v>
      </c>
      <c r="D15" s="38">
        <v>9</v>
      </c>
      <c r="E15" s="71" t="s">
        <v>71</v>
      </c>
      <c r="F15" s="28" t="s">
        <v>24</v>
      </c>
      <c r="G15" s="39">
        <v>10</v>
      </c>
      <c r="H15" s="30">
        <f t="shared" ref="H15:H16" si="5">IF(G15&lt;D15,0,G15-D15)</f>
        <v>1</v>
      </c>
      <c r="I15" s="31">
        <f t="shared" si="3"/>
        <v>0</v>
      </c>
      <c r="J15" s="32">
        <f t="shared" si="4"/>
        <v>100</v>
      </c>
      <c r="K15" s="123" t="s">
        <v>79</v>
      </c>
      <c r="L15" s="115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29.25" customHeight="1" outlineLevel="1" x14ac:dyDescent="0.2">
      <c r="A16" s="161"/>
      <c r="B16" s="171"/>
      <c r="C16" s="57" t="s">
        <v>37</v>
      </c>
      <c r="D16" s="38">
        <v>3</v>
      </c>
      <c r="E16" s="71" t="s">
        <v>84</v>
      </c>
      <c r="F16" s="28" t="s">
        <v>24</v>
      </c>
      <c r="G16" s="39">
        <v>3</v>
      </c>
      <c r="H16" s="30">
        <f t="shared" si="5"/>
        <v>0</v>
      </c>
      <c r="I16" s="31">
        <f t="shared" si="3"/>
        <v>0</v>
      </c>
      <c r="J16" s="32">
        <f t="shared" si="4"/>
        <v>100</v>
      </c>
      <c r="K16" s="124" t="s">
        <v>85</v>
      </c>
      <c r="L16" s="110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28.5" customHeight="1" x14ac:dyDescent="0.2">
      <c r="A17" s="127" t="s">
        <v>32</v>
      </c>
      <c r="B17" s="128"/>
      <c r="C17" s="19" t="s">
        <v>38</v>
      </c>
      <c r="D17" s="20">
        <f>SUM(D18:D22)</f>
        <v>41</v>
      </c>
      <c r="E17" s="158"/>
      <c r="F17" s="128"/>
      <c r="G17" s="40">
        <f>SUM(G18:G22)</f>
        <v>37.5</v>
      </c>
      <c r="H17" s="41">
        <f>SUM(H18:H22)</f>
        <v>0</v>
      </c>
      <c r="I17" s="41">
        <f>SUM(I18:I22)</f>
        <v>0</v>
      </c>
      <c r="J17" s="23">
        <f>(100/D17)*((G17+I17)-H17)</f>
        <v>91.463414634146346</v>
      </c>
      <c r="K17" s="113"/>
      <c r="L17" s="100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25.5" outlineLevel="1" x14ac:dyDescent="0.2">
      <c r="A18" s="159">
        <v>4</v>
      </c>
      <c r="B18" s="162" t="s">
        <v>39</v>
      </c>
      <c r="C18" s="57" t="s">
        <v>40</v>
      </c>
      <c r="D18" s="36">
        <v>8</v>
      </c>
      <c r="E18" s="70" t="s">
        <v>96</v>
      </c>
      <c r="F18" s="28" t="s">
        <v>24</v>
      </c>
      <c r="G18" s="42">
        <v>8</v>
      </c>
      <c r="H18" s="30">
        <f t="shared" ref="H18:H22" si="6">IF(G18&lt;D18,0,D18-G18)</f>
        <v>0</v>
      </c>
      <c r="I18" s="31">
        <f t="shared" ref="I18:I22" si="7">IF(AND(G18&lt;D18,F18="Listo"),D18-G18,0)</f>
        <v>0</v>
      </c>
      <c r="J18" s="32">
        <f t="shared" ref="J18:J22" si="8">IF(F18="Listo",100,(100/D18)*(G18-H18))</f>
        <v>100</v>
      </c>
      <c r="K18" s="125" t="s">
        <v>72</v>
      </c>
      <c r="L18" s="115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28.5" customHeight="1" outlineLevel="1" x14ac:dyDescent="0.2">
      <c r="A19" s="160"/>
      <c r="B19" s="163"/>
      <c r="C19" s="57" t="s">
        <v>41</v>
      </c>
      <c r="D19" s="38">
        <v>6</v>
      </c>
      <c r="E19" s="72" t="s">
        <v>95</v>
      </c>
      <c r="F19" s="28" t="s">
        <v>24</v>
      </c>
      <c r="G19" s="42">
        <v>6</v>
      </c>
      <c r="H19" s="30">
        <f t="shared" si="6"/>
        <v>0</v>
      </c>
      <c r="I19" s="31">
        <f t="shared" si="7"/>
        <v>0</v>
      </c>
      <c r="J19" s="32">
        <f t="shared" si="8"/>
        <v>100</v>
      </c>
      <c r="K19" s="126" t="s">
        <v>83</v>
      </c>
      <c r="L19" s="115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29.25" customHeight="1" outlineLevel="1" x14ac:dyDescent="0.2">
      <c r="A20" s="160"/>
      <c r="B20" s="163"/>
      <c r="C20" s="57" t="s">
        <v>42</v>
      </c>
      <c r="D20" s="38">
        <v>14</v>
      </c>
      <c r="E20" s="70" t="s">
        <v>81</v>
      </c>
      <c r="F20" s="28" t="s">
        <v>66</v>
      </c>
      <c r="G20" s="42">
        <v>12</v>
      </c>
      <c r="H20" s="30">
        <f t="shared" si="6"/>
        <v>0</v>
      </c>
      <c r="I20" s="31">
        <f t="shared" si="7"/>
        <v>0</v>
      </c>
      <c r="J20" s="32">
        <f t="shared" si="8"/>
        <v>85.714285714285722</v>
      </c>
      <c r="K20" s="116" t="s">
        <v>82</v>
      </c>
      <c r="L20" s="117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32.25" customHeight="1" outlineLevel="1" x14ac:dyDescent="0.2">
      <c r="A21" s="160"/>
      <c r="B21" s="163"/>
      <c r="C21" s="57" t="s">
        <v>43</v>
      </c>
      <c r="D21" s="38">
        <v>9</v>
      </c>
      <c r="E21" s="70" t="s">
        <v>81</v>
      </c>
      <c r="F21" s="28" t="s">
        <v>66</v>
      </c>
      <c r="G21" s="42">
        <v>8</v>
      </c>
      <c r="H21" s="30">
        <f t="shared" si="6"/>
        <v>0</v>
      </c>
      <c r="I21" s="31">
        <f t="shared" si="7"/>
        <v>0</v>
      </c>
      <c r="J21" s="32">
        <f t="shared" si="8"/>
        <v>88.888888888888886</v>
      </c>
      <c r="K21" s="116" t="s">
        <v>80</v>
      </c>
      <c r="L21" s="117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20.25" customHeight="1" outlineLevel="1" x14ac:dyDescent="0.2">
      <c r="A22" s="161"/>
      <c r="B22" s="164"/>
      <c r="C22" s="57" t="s">
        <v>44</v>
      </c>
      <c r="D22" s="38">
        <v>4</v>
      </c>
      <c r="E22" s="70">
        <v>45474</v>
      </c>
      <c r="F22" s="28" t="s">
        <v>66</v>
      </c>
      <c r="G22" s="42">
        <v>3.5</v>
      </c>
      <c r="H22" s="30">
        <f t="shared" si="6"/>
        <v>0</v>
      </c>
      <c r="I22" s="31">
        <f t="shared" si="7"/>
        <v>0</v>
      </c>
      <c r="J22" s="32">
        <f t="shared" si="8"/>
        <v>87.5</v>
      </c>
      <c r="K22" s="114"/>
      <c r="L22" s="115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24" customHeight="1" x14ac:dyDescent="0.2">
      <c r="A23" s="127" t="s">
        <v>32</v>
      </c>
      <c r="B23" s="128"/>
      <c r="C23" s="19" t="s">
        <v>45</v>
      </c>
      <c r="D23" s="20">
        <f>SUM(D24:D25)</f>
        <v>15.5</v>
      </c>
      <c r="E23" s="158"/>
      <c r="F23" s="128"/>
      <c r="G23" s="40">
        <f>SUM(G24:G25)</f>
        <v>10.25</v>
      </c>
      <c r="H23" s="41">
        <f>SUM(H24:H25)</f>
        <v>0</v>
      </c>
      <c r="I23" s="41">
        <f>SUM(I24:I25)</f>
        <v>2</v>
      </c>
      <c r="J23" s="23">
        <f>(100/D23)*((G23+I23)-H23)</f>
        <v>79.032258064516128</v>
      </c>
      <c r="K23" s="113"/>
      <c r="L23" s="100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30" customHeight="1" outlineLevel="1" x14ac:dyDescent="0.2">
      <c r="A24" s="159">
        <v>5</v>
      </c>
      <c r="B24" s="162" t="s">
        <v>46</v>
      </c>
      <c r="C24" s="58" t="s">
        <v>47</v>
      </c>
      <c r="D24" s="36">
        <v>9</v>
      </c>
      <c r="E24" s="70" t="s">
        <v>77</v>
      </c>
      <c r="F24" s="28" t="s">
        <v>24</v>
      </c>
      <c r="G24" s="42">
        <v>7</v>
      </c>
      <c r="H24" s="30">
        <f t="shared" ref="H24:H25" si="9">IF(G24&lt;D24,0,D24-G24)</f>
        <v>0</v>
      </c>
      <c r="I24" s="31">
        <f t="shared" ref="I24:I25" si="10">IF(AND(G24&lt;D24,F24="Listo"),D24-G24,0)</f>
        <v>2</v>
      </c>
      <c r="J24" s="32">
        <f t="shared" ref="J24:J25" si="11">IF(F24="Listo",100,(100/D24)*(G24-H24))</f>
        <v>100</v>
      </c>
      <c r="K24" s="114"/>
      <c r="L24" s="115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20.25" customHeight="1" outlineLevel="1" x14ac:dyDescent="0.2">
      <c r="A25" s="160"/>
      <c r="B25" s="163"/>
      <c r="C25" s="58" t="s">
        <v>48</v>
      </c>
      <c r="D25" s="38">
        <v>6.5</v>
      </c>
      <c r="E25" s="71">
        <v>45478</v>
      </c>
      <c r="F25" s="28" t="s">
        <v>66</v>
      </c>
      <c r="G25" s="43">
        <v>3.25</v>
      </c>
      <c r="H25" s="30">
        <f t="shared" si="9"/>
        <v>0</v>
      </c>
      <c r="I25" s="31">
        <f t="shared" si="10"/>
        <v>0</v>
      </c>
      <c r="J25" s="32">
        <f t="shared" si="11"/>
        <v>50</v>
      </c>
      <c r="K25" s="109"/>
      <c r="L25" s="110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23.25" customHeight="1" x14ac:dyDescent="0.2">
      <c r="A26" s="166" t="s">
        <v>49</v>
      </c>
      <c r="B26" s="128"/>
      <c r="C26" s="19" t="s">
        <v>50</v>
      </c>
      <c r="D26" s="44">
        <f>SUM(D27:D29)</f>
        <v>14</v>
      </c>
      <c r="E26" s="158"/>
      <c r="F26" s="128"/>
      <c r="G26" s="40">
        <f>SUM(G27:G29)</f>
        <v>0</v>
      </c>
      <c r="H26" s="41">
        <f>SUM(H27:H29)</f>
        <v>0</v>
      </c>
      <c r="I26" s="41">
        <f>SUM(I27:I29)</f>
        <v>0</v>
      </c>
      <c r="J26" s="23">
        <f>(100/D26)*((G26+I26)-H26)</f>
        <v>0</v>
      </c>
      <c r="K26" s="113"/>
      <c r="L26" s="100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1.75" customHeight="1" outlineLevel="1" x14ac:dyDescent="0.2">
      <c r="A27" s="159">
        <v>6</v>
      </c>
      <c r="B27" s="162" t="s">
        <v>51</v>
      </c>
      <c r="C27" s="59" t="s">
        <v>52</v>
      </c>
      <c r="D27" s="38">
        <v>4</v>
      </c>
      <c r="E27" s="45"/>
      <c r="F27" s="28" t="s">
        <v>26</v>
      </c>
      <c r="G27" s="46"/>
      <c r="H27" s="30">
        <f t="shared" ref="H27:H29" si="12">IF(G27&lt;D27,0,D27-G27)</f>
        <v>0</v>
      </c>
      <c r="I27" s="31">
        <f t="shared" ref="I27:I29" si="13">IF(AND(G27&lt;D27,F27="Listo"),D27-G27,0)</f>
        <v>0</v>
      </c>
      <c r="J27" s="32">
        <f t="shared" ref="J27:J29" si="14">IF(F27="Listo",100,(100/D27)*(G27-H27))</f>
        <v>0</v>
      </c>
      <c r="K27" s="109"/>
      <c r="L27" s="110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6.5" customHeight="1" outlineLevel="1" x14ac:dyDescent="0.2">
      <c r="A28" s="160"/>
      <c r="B28" s="163"/>
      <c r="C28" s="59" t="s">
        <v>53</v>
      </c>
      <c r="D28" s="38">
        <v>4</v>
      </c>
      <c r="E28" s="45"/>
      <c r="F28" s="28" t="s">
        <v>26</v>
      </c>
      <c r="G28" s="46"/>
      <c r="H28" s="30">
        <f t="shared" si="12"/>
        <v>0</v>
      </c>
      <c r="I28" s="31">
        <f t="shared" si="13"/>
        <v>0</v>
      </c>
      <c r="J28" s="32">
        <f t="shared" si="14"/>
        <v>0</v>
      </c>
      <c r="K28" s="109"/>
      <c r="L28" s="110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13.5" outlineLevel="1" thickBot="1" x14ac:dyDescent="0.25">
      <c r="A29" s="161"/>
      <c r="B29" s="164"/>
      <c r="C29" s="59" t="s">
        <v>54</v>
      </c>
      <c r="D29" s="47">
        <v>6</v>
      </c>
      <c r="E29" s="48"/>
      <c r="F29" s="49" t="s">
        <v>26</v>
      </c>
      <c r="G29" s="50"/>
      <c r="H29" s="30">
        <f t="shared" si="12"/>
        <v>0</v>
      </c>
      <c r="I29" s="51">
        <f t="shared" si="13"/>
        <v>0</v>
      </c>
      <c r="J29" s="52">
        <f t="shared" si="14"/>
        <v>0</v>
      </c>
      <c r="K29" s="111"/>
      <c r="L29" s="112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0.25" customHeight="1" outlineLevel="1" thickBot="1" x14ac:dyDescent="0.25">
      <c r="A30" s="166" t="s">
        <v>49</v>
      </c>
      <c r="B30" s="167"/>
      <c r="C30" s="19" t="s">
        <v>59</v>
      </c>
      <c r="D30" s="44">
        <f>SUM(D31:D33)</f>
        <v>7</v>
      </c>
      <c r="E30" s="158"/>
      <c r="F30" s="128"/>
      <c r="G30" s="40">
        <f>SUM(G31:G33)</f>
        <v>0</v>
      </c>
      <c r="H30" s="41">
        <f>SUM(H31:H33)</f>
        <v>0</v>
      </c>
      <c r="I30" s="41">
        <f>SUM(I31:I33)</f>
        <v>0</v>
      </c>
      <c r="J30" s="23">
        <f>(100/D30)*((G30+I30)-H30)</f>
        <v>0</v>
      </c>
      <c r="K30" s="113"/>
      <c r="L30" s="100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18" customHeight="1" x14ac:dyDescent="0.2">
      <c r="A31" s="103">
        <v>7</v>
      </c>
      <c r="B31" s="165" t="s">
        <v>55</v>
      </c>
      <c r="C31" s="60" t="s">
        <v>56</v>
      </c>
      <c r="D31" s="38">
        <v>5</v>
      </c>
      <c r="E31" s="45"/>
      <c r="F31" s="28" t="s">
        <v>26</v>
      </c>
      <c r="G31" s="46"/>
      <c r="H31" s="30">
        <f>IF(G31&lt;D31,0,D31-G31)</f>
        <v>0</v>
      </c>
      <c r="I31" s="31">
        <f>IF(AND(G31&lt;D31,F31="Listo"),D31-G31,0)</f>
        <v>0</v>
      </c>
      <c r="J31" s="32">
        <f>IF(F31="Listo",100,(100/D31)*(G31-H31))</f>
        <v>0</v>
      </c>
      <c r="K31" s="109"/>
      <c r="L31" s="110"/>
      <c r="M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" customHeight="1" x14ac:dyDescent="0.2">
      <c r="A32" s="104"/>
      <c r="B32" s="107"/>
      <c r="C32" s="60" t="s">
        <v>57</v>
      </c>
      <c r="D32" s="38">
        <v>1</v>
      </c>
      <c r="E32" s="45"/>
      <c r="F32" s="28" t="s">
        <v>26</v>
      </c>
      <c r="G32" s="46"/>
      <c r="H32" s="30">
        <f t="shared" ref="H32:H33" si="15">IF(G32&lt;D32,0,D32-G32)</f>
        <v>0</v>
      </c>
      <c r="I32" s="31">
        <f>IF(AND(G32&lt;D32,F32="Listo"),D32-G32,0)</f>
        <v>0</v>
      </c>
      <c r="J32" s="32">
        <f>IF(F32="Listo",100,(100/D32)*(G32-H32))</f>
        <v>0</v>
      </c>
      <c r="K32" s="109"/>
      <c r="L32" s="110"/>
      <c r="M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7.25" customHeight="1" thickBot="1" x14ac:dyDescent="0.25">
      <c r="A33" s="105"/>
      <c r="B33" s="108"/>
      <c r="C33" s="61" t="s">
        <v>58</v>
      </c>
      <c r="D33" s="47">
        <v>1</v>
      </c>
      <c r="E33" s="48"/>
      <c r="F33" s="49" t="s">
        <v>26</v>
      </c>
      <c r="G33" s="56"/>
      <c r="H33" s="75">
        <f t="shared" si="15"/>
        <v>0</v>
      </c>
      <c r="I33" s="51">
        <f>IF(AND(G33&lt;D33,F33="Listo"),D33-G33,0)</f>
        <v>0</v>
      </c>
      <c r="J33" s="52">
        <f>IF(F33="Listo",100,(100/D33)*(G33-H33))</f>
        <v>0</v>
      </c>
      <c r="K33" s="111"/>
      <c r="L33" s="112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3.5" thickBot="1" x14ac:dyDescent="0.25">
      <c r="A34" s="53"/>
      <c r="B34" s="53"/>
      <c r="C34" s="53"/>
      <c r="D34" s="94"/>
      <c r="E34" s="53"/>
      <c r="F34" s="53"/>
      <c r="G34" s="53"/>
      <c r="H34" s="53"/>
      <c r="I34" s="53"/>
      <c r="J34" s="54"/>
      <c r="K34" s="53"/>
      <c r="L34" s="53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25.5" customHeight="1" thickTop="1" thickBot="1" x14ac:dyDescent="0.25">
      <c r="A35" s="97" t="s">
        <v>88</v>
      </c>
      <c r="B35" s="98"/>
      <c r="C35" s="95" t="s">
        <v>87</v>
      </c>
      <c r="D35" s="96">
        <f>SUM(D36:D39)</f>
        <v>48</v>
      </c>
      <c r="E35" s="99"/>
      <c r="F35" s="100"/>
      <c r="G35" s="40">
        <f>SUM(G36:G39)</f>
        <v>0</v>
      </c>
      <c r="H35" s="41">
        <f>SUM(H36:H39)</f>
        <v>0</v>
      </c>
      <c r="I35" s="41">
        <f>SUM(I36:I39)</f>
        <v>0</v>
      </c>
      <c r="J35" s="23">
        <f>(100/D35)*((G35+I35)-H35)</f>
        <v>0</v>
      </c>
      <c r="K35" s="101" t="s">
        <v>97</v>
      </c>
      <c r="L35" s="102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2.75" x14ac:dyDescent="0.2">
      <c r="A36" s="103">
        <v>8</v>
      </c>
      <c r="B36" s="106" t="s">
        <v>89</v>
      </c>
      <c r="C36" s="74" t="s">
        <v>91</v>
      </c>
      <c r="D36" s="36">
        <v>12</v>
      </c>
      <c r="E36" s="45"/>
      <c r="F36" s="28" t="s">
        <v>26</v>
      </c>
      <c r="G36" s="46"/>
      <c r="H36" s="30">
        <f>IF(G36&lt;D36,0,D36-G36)</f>
        <v>0</v>
      </c>
      <c r="I36" s="31">
        <f>IF(AND(G36&lt;D36,F36="Listo"),D36-G36,0)</f>
        <v>0</v>
      </c>
      <c r="J36" s="32">
        <f>IF(F36="Listo",100,(100/D36)*(G36-H36))</f>
        <v>0</v>
      </c>
      <c r="K36" s="109"/>
      <c r="L36" s="110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2.75" x14ac:dyDescent="0.2">
      <c r="A37" s="104"/>
      <c r="B37" s="107"/>
      <c r="C37" s="73" t="s">
        <v>92</v>
      </c>
      <c r="D37" s="38">
        <v>11</v>
      </c>
      <c r="E37" s="45"/>
      <c r="F37" s="28" t="s">
        <v>26</v>
      </c>
      <c r="G37" s="82"/>
      <c r="H37" s="30">
        <f t="shared" ref="H37:H39" si="16">IF(G37&lt;D37,0,D37-G37)</f>
        <v>0</v>
      </c>
      <c r="I37" s="31">
        <f>IF(AND(G37&lt;D37,F37="Listo"),D37-G37,0)</f>
        <v>0</v>
      </c>
      <c r="J37" s="32">
        <f>IF(F37="Listo",100,(100/D37)*(G37-H37))</f>
        <v>0</v>
      </c>
      <c r="K37" s="109"/>
      <c r="L37" s="110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2.75" x14ac:dyDescent="0.2">
      <c r="A38" s="104"/>
      <c r="B38" s="107"/>
      <c r="C38" s="73" t="s">
        <v>93</v>
      </c>
      <c r="D38" s="76">
        <v>13</v>
      </c>
      <c r="E38" s="45"/>
      <c r="F38" s="28" t="s">
        <v>26</v>
      </c>
      <c r="G38" s="77"/>
      <c r="H38" s="30">
        <f t="shared" si="16"/>
        <v>0</v>
      </c>
      <c r="I38" s="31">
        <f t="shared" ref="I38:I39" si="17">IF(AND(G38&lt;D38,F38="Listo"),D38-G38,0)</f>
        <v>0</v>
      </c>
      <c r="J38" s="32">
        <f t="shared" ref="J38:J39" si="18">IF(F38="Listo",100,(100/D38)*(G38-H38))</f>
        <v>0</v>
      </c>
      <c r="K38" s="78"/>
      <c r="L38" s="79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3.5" thickBot="1" x14ac:dyDescent="0.25">
      <c r="A39" s="105"/>
      <c r="B39" s="108"/>
      <c r="C39" s="80" t="s">
        <v>94</v>
      </c>
      <c r="D39" s="81">
        <v>12</v>
      </c>
      <c r="E39" s="48"/>
      <c r="F39" s="49" t="s">
        <v>26</v>
      </c>
      <c r="G39" s="56"/>
      <c r="H39" s="75">
        <f t="shared" si="16"/>
        <v>0</v>
      </c>
      <c r="I39" s="83">
        <f t="shared" si="17"/>
        <v>0</v>
      </c>
      <c r="J39" s="84">
        <f t="shared" si="18"/>
        <v>0</v>
      </c>
      <c r="K39" s="111"/>
      <c r="L39" s="112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2.75" x14ac:dyDescent="0.2">
      <c r="A40" s="53"/>
      <c r="B40" s="53"/>
      <c r="C40" s="53"/>
      <c r="D40" s="53"/>
      <c r="E40" s="53"/>
      <c r="F40" s="53"/>
      <c r="G40" s="53"/>
      <c r="H40" s="53"/>
      <c r="I40" s="53"/>
      <c r="J40" s="54"/>
      <c r="K40" s="53"/>
      <c r="L40" s="53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5" thickBot="1" x14ac:dyDescent="0.25">
      <c r="A41" s="53"/>
      <c r="B41" s="53"/>
      <c r="C41" s="53"/>
      <c r="D41" s="53"/>
      <c r="E41" s="53"/>
      <c r="F41" s="53"/>
      <c r="G41" s="85"/>
      <c r="H41" s="85"/>
      <c r="I41" s="85"/>
      <c r="J41" s="54"/>
      <c r="K41" s="53"/>
      <c r="L41" s="53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5" thickBot="1" x14ac:dyDescent="0.25">
      <c r="A42" s="53"/>
      <c r="B42" s="53"/>
      <c r="C42" s="67" t="s">
        <v>62</v>
      </c>
      <c r="D42" s="86" t="s">
        <v>61</v>
      </c>
      <c r="E42" s="86" t="s">
        <v>60</v>
      </c>
      <c r="F42" s="53"/>
      <c r="G42" s="53"/>
      <c r="H42" s="53"/>
      <c r="I42" s="53"/>
      <c r="J42" s="54"/>
      <c r="K42" s="53"/>
      <c r="L42" s="53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2.75" x14ac:dyDescent="0.2">
      <c r="A43" s="24"/>
      <c r="B43" s="24"/>
      <c r="C43" s="63" t="s">
        <v>63</v>
      </c>
      <c r="D43" s="87" cm="1">
        <f t="array" ref="D43">SumarPorColor(D7:D33, C7:C33, C12)</f>
        <v>52</v>
      </c>
      <c r="E43" s="87">
        <f>((100/$D$5)*D43)+((100/$D$5)*($D$45/2))</f>
        <v>62.015503875968996</v>
      </c>
      <c r="F43" s="24"/>
      <c r="G43" s="24"/>
      <c r="H43" s="24"/>
      <c r="I43" s="24"/>
      <c r="J43" s="55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5" thickBot="1" x14ac:dyDescent="0.25">
      <c r="A44" s="24"/>
      <c r="B44" s="24"/>
      <c r="C44" s="62" t="s">
        <v>64</v>
      </c>
      <c r="D44" s="89" cm="1">
        <f t="array" ref="D44">SumarPorColor(D7:D33, C7:C33, C27)</f>
        <v>21</v>
      </c>
      <c r="E44" s="88">
        <f>((100/$D$5)*D44)+((100/$D$5)*($D$45/2))</f>
        <v>37.984496124031011</v>
      </c>
      <c r="F44" s="24"/>
      <c r="G44" s="24"/>
      <c r="H44" s="24"/>
      <c r="I44" s="24"/>
      <c r="J44" s="55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5" thickBot="1" x14ac:dyDescent="0.25">
      <c r="A45" s="24"/>
      <c r="B45" s="24"/>
      <c r="C45" s="66" t="s">
        <v>65</v>
      </c>
      <c r="D45" s="88" cm="1">
        <f t="array" ref="D45">SumarPorColor(D7:D33, C7:C33, C8)</f>
        <v>56</v>
      </c>
      <c r="E45" s="65"/>
      <c r="F45" s="24"/>
      <c r="G45" s="24"/>
      <c r="H45" s="24"/>
      <c r="I45" s="24"/>
      <c r="J45" s="55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5" thickBot="1" x14ac:dyDescent="0.25">
      <c r="A46" s="24"/>
      <c r="B46" s="24"/>
      <c r="C46" s="24"/>
      <c r="E46" s="64"/>
      <c r="F46" s="24"/>
      <c r="G46" s="24"/>
      <c r="H46" s="24"/>
      <c r="I46" s="24"/>
      <c r="J46" s="55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5" thickBot="1" x14ac:dyDescent="0.25">
      <c r="A47" s="24"/>
      <c r="B47" s="24"/>
      <c r="C47" s="67" t="s">
        <v>62</v>
      </c>
      <c r="D47" s="86" t="s">
        <v>90</v>
      </c>
      <c r="E47" s="90" t="s">
        <v>60</v>
      </c>
      <c r="F47" s="24"/>
      <c r="G47" s="24"/>
      <c r="H47" s="24"/>
      <c r="I47" s="24"/>
      <c r="J47" s="55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2.75" x14ac:dyDescent="0.2">
      <c r="A48" s="24"/>
      <c r="B48" s="24"/>
      <c r="C48" s="63" t="s">
        <v>63</v>
      </c>
      <c r="D48" s="87" cm="1">
        <f t="array" ref="D48">SumarPorColor($D$7:$D$39,$C$7:$C$39,$C$12)</f>
        <v>100</v>
      </c>
      <c r="E48" s="91">
        <f>((100/($D$5 + D35))*D48)+((100/($D$5 + D35))*($D$50/2))</f>
        <v>72.316384180790962</v>
      </c>
      <c r="F48" s="24"/>
      <c r="G48" s="24"/>
      <c r="H48" s="24"/>
      <c r="I48" s="24"/>
      <c r="J48" s="55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5" thickBot="1" x14ac:dyDescent="0.25">
      <c r="A49" s="24"/>
      <c r="B49" s="24"/>
      <c r="C49" s="62" t="s">
        <v>64</v>
      </c>
      <c r="D49" s="93" cm="1">
        <f t="array" ref="D49">SumarPorColor($D$7:$D$39,$C$7:$C$39,$C$27)</f>
        <v>21</v>
      </c>
      <c r="E49" s="92">
        <f>((100/($D$5 + D35))*D49)+((100/($D$5 + D35))*($D$50/2))</f>
        <v>27.683615819209038</v>
      </c>
      <c r="F49" s="24"/>
      <c r="G49" s="24"/>
      <c r="H49" s="24"/>
      <c r="I49" s="24"/>
      <c r="J49" s="55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5" thickBot="1" x14ac:dyDescent="0.25">
      <c r="A50" s="24"/>
      <c r="B50" s="24"/>
      <c r="C50" s="66" t="s">
        <v>65</v>
      </c>
      <c r="D50" s="88" cm="1">
        <f t="array" ref="D50">SumarPorColor($D$7:$D$39,$C$7:$C$39,$C$8)</f>
        <v>56</v>
      </c>
      <c r="E50" s="65"/>
      <c r="F50" s="24"/>
      <c r="G50" s="24"/>
      <c r="H50" s="24"/>
      <c r="I50" s="24"/>
      <c r="J50" s="5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2.75" x14ac:dyDescent="0.2">
      <c r="A51" s="24"/>
      <c r="B51" s="24"/>
      <c r="C51" s="24"/>
      <c r="D51" s="24"/>
      <c r="E51" s="24"/>
      <c r="F51" s="24"/>
      <c r="G51" s="24"/>
      <c r="H51" s="24"/>
      <c r="I51" s="24"/>
      <c r="J51" s="5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2.75" x14ac:dyDescent="0.2">
      <c r="A52" s="24"/>
      <c r="B52" s="24"/>
      <c r="C52" s="24"/>
      <c r="D52" s="24"/>
      <c r="E52" s="24"/>
      <c r="F52" s="24"/>
      <c r="G52" s="24"/>
      <c r="H52" s="24"/>
      <c r="I52" s="24"/>
      <c r="J52" s="5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2.75" x14ac:dyDescent="0.2">
      <c r="A53" s="24"/>
      <c r="B53" s="24"/>
      <c r="C53" s="24"/>
      <c r="D53" s="24"/>
      <c r="E53" s="24"/>
      <c r="F53" s="24"/>
      <c r="G53" s="24"/>
      <c r="H53" s="24"/>
      <c r="I53" s="24"/>
      <c r="J53" s="5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2.75" x14ac:dyDescent="0.2">
      <c r="A54" s="24"/>
      <c r="B54" s="24"/>
      <c r="C54" s="24"/>
      <c r="D54" s="24"/>
      <c r="E54" s="24"/>
      <c r="F54" s="24"/>
      <c r="G54" s="24"/>
      <c r="H54" s="24"/>
      <c r="I54" s="24"/>
      <c r="J54" s="5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2.75" x14ac:dyDescent="0.2">
      <c r="A55" s="24"/>
      <c r="B55" s="24"/>
      <c r="C55" s="24"/>
      <c r="D55" s="24"/>
      <c r="E55" s="24"/>
      <c r="F55" s="24"/>
      <c r="G55" s="24"/>
      <c r="H55" s="24"/>
      <c r="I55" s="24"/>
      <c r="J55" s="5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2.75" x14ac:dyDescent="0.2">
      <c r="A56" s="24"/>
      <c r="B56" s="24"/>
      <c r="C56" s="24"/>
      <c r="D56" s="24"/>
      <c r="E56" s="24"/>
      <c r="F56" s="24"/>
      <c r="G56" s="24"/>
      <c r="H56" s="24"/>
      <c r="I56" s="24"/>
      <c r="J56" s="5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2.75" x14ac:dyDescent="0.2">
      <c r="A57" s="24"/>
      <c r="B57" s="24"/>
      <c r="C57" s="24"/>
      <c r="D57" s="24"/>
      <c r="E57" s="24"/>
      <c r="F57" s="24"/>
      <c r="G57" s="24"/>
      <c r="H57" s="24"/>
      <c r="I57" s="24"/>
      <c r="J57" s="5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2.75" x14ac:dyDescent="0.2">
      <c r="A58" s="24"/>
      <c r="B58" s="24"/>
      <c r="C58" s="24"/>
      <c r="D58" s="24"/>
      <c r="E58" s="24"/>
      <c r="F58" s="24"/>
      <c r="G58" s="24"/>
      <c r="H58" s="24"/>
      <c r="I58" s="24"/>
      <c r="J58" s="5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2.75" x14ac:dyDescent="0.2">
      <c r="A59" s="24"/>
      <c r="B59" s="24"/>
      <c r="C59" s="24"/>
      <c r="D59" s="24"/>
      <c r="E59" s="24"/>
      <c r="F59" s="24"/>
      <c r="G59" s="24"/>
      <c r="H59" s="24"/>
      <c r="I59" s="24"/>
      <c r="J59" s="5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2.75" x14ac:dyDescent="0.2">
      <c r="A60" s="24"/>
      <c r="B60" s="24"/>
      <c r="C60" s="24"/>
      <c r="D60" s="24"/>
      <c r="E60" s="24"/>
      <c r="F60" s="24"/>
      <c r="G60" s="24"/>
      <c r="H60" s="24"/>
      <c r="I60" s="24"/>
      <c r="J60" s="5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2.75" x14ac:dyDescent="0.2">
      <c r="A61" s="24"/>
      <c r="B61" s="24"/>
      <c r="C61" s="24"/>
      <c r="D61" s="24"/>
      <c r="E61" s="24"/>
      <c r="F61" s="24"/>
      <c r="G61" s="24"/>
      <c r="H61" s="24"/>
      <c r="I61" s="24"/>
      <c r="J61" s="5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2.75" x14ac:dyDescent="0.2">
      <c r="A62" s="24"/>
      <c r="B62" s="24"/>
      <c r="C62" s="24"/>
      <c r="D62" s="24"/>
      <c r="E62" s="24"/>
      <c r="F62" s="24"/>
      <c r="G62" s="24"/>
      <c r="H62" s="24"/>
      <c r="I62" s="24"/>
      <c r="J62" s="5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2.75" x14ac:dyDescent="0.2">
      <c r="A63" s="24"/>
      <c r="B63" s="24"/>
      <c r="C63" s="24"/>
      <c r="D63" s="24"/>
      <c r="E63" s="24"/>
      <c r="F63" s="24"/>
      <c r="G63" s="24"/>
      <c r="H63" s="24"/>
      <c r="I63" s="24"/>
      <c r="J63" s="5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2.75" x14ac:dyDescent="0.2">
      <c r="A64" s="24"/>
      <c r="B64" s="24"/>
      <c r="C64" s="24"/>
      <c r="D64" s="24"/>
      <c r="E64" s="24"/>
      <c r="F64" s="24"/>
      <c r="G64" s="24"/>
      <c r="H64" s="24"/>
      <c r="I64" s="24"/>
      <c r="J64" s="5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2.75" x14ac:dyDescent="0.2">
      <c r="A65" s="24"/>
      <c r="B65" s="24"/>
      <c r="C65" s="24"/>
      <c r="D65" s="24"/>
      <c r="E65" s="24"/>
      <c r="F65" s="24"/>
      <c r="G65" s="24"/>
      <c r="H65" s="24"/>
      <c r="I65" s="24"/>
      <c r="J65" s="5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2.75" x14ac:dyDescent="0.2">
      <c r="A66" s="24"/>
      <c r="B66" s="24"/>
      <c r="C66" s="24"/>
      <c r="D66" s="24"/>
      <c r="E66" s="24"/>
      <c r="F66" s="24"/>
      <c r="G66" s="24"/>
      <c r="H66" s="24"/>
      <c r="I66" s="24"/>
      <c r="J66" s="5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2.75" x14ac:dyDescent="0.2">
      <c r="A67" s="24"/>
      <c r="B67" s="24"/>
      <c r="C67" s="24"/>
      <c r="D67" s="24"/>
      <c r="E67" s="24"/>
      <c r="F67" s="24"/>
      <c r="G67" s="24"/>
      <c r="H67" s="24"/>
      <c r="I67" s="24"/>
      <c r="J67" s="5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2.75" x14ac:dyDescent="0.2">
      <c r="A68" s="24"/>
      <c r="B68" s="24"/>
      <c r="C68" s="24"/>
      <c r="D68" s="24"/>
      <c r="E68" s="24"/>
      <c r="F68" s="24"/>
      <c r="G68" s="24"/>
      <c r="H68" s="24"/>
      <c r="I68" s="24"/>
      <c r="J68" s="5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2.75" x14ac:dyDescent="0.2">
      <c r="A69" s="24"/>
      <c r="B69" s="24"/>
      <c r="C69" s="24"/>
      <c r="D69" s="24"/>
      <c r="E69" s="24"/>
      <c r="F69" s="24"/>
      <c r="G69" s="24"/>
      <c r="H69" s="24"/>
      <c r="I69" s="24"/>
      <c r="J69" s="5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2.75" x14ac:dyDescent="0.2">
      <c r="A70" s="24"/>
      <c r="B70" s="24"/>
      <c r="C70" s="24"/>
      <c r="D70" s="24"/>
      <c r="E70" s="24"/>
      <c r="F70" s="24"/>
      <c r="G70" s="24"/>
      <c r="H70" s="24"/>
      <c r="I70" s="24"/>
      <c r="J70" s="5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2.75" x14ac:dyDescent="0.2">
      <c r="A71" s="24"/>
      <c r="B71" s="24"/>
      <c r="C71" s="24"/>
      <c r="D71" s="24"/>
      <c r="E71" s="24"/>
      <c r="F71" s="24"/>
      <c r="G71" s="24"/>
      <c r="H71" s="24"/>
      <c r="I71" s="24"/>
      <c r="J71" s="5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2.75" x14ac:dyDescent="0.2">
      <c r="A72" s="24"/>
      <c r="B72" s="24"/>
      <c r="C72" s="24"/>
      <c r="D72" s="24"/>
      <c r="E72" s="24"/>
      <c r="F72" s="24"/>
      <c r="G72" s="24"/>
      <c r="H72" s="24"/>
      <c r="I72" s="24"/>
      <c r="J72" s="5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2.75" x14ac:dyDescent="0.2">
      <c r="A73" s="24"/>
      <c r="B73" s="24"/>
      <c r="C73" s="24"/>
      <c r="D73" s="24"/>
      <c r="E73" s="24"/>
      <c r="F73" s="24"/>
      <c r="G73" s="24"/>
      <c r="H73" s="24"/>
      <c r="I73" s="24"/>
      <c r="J73" s="5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2.75" x14ac:dyDescent="0.2">
      <c r="A74" s="24"/>
      <c r="B74" s="24"/>
      <c r="C74" s="24"/>
      <c r="D74" s="24"/>
      <c r="E74" s="24"/>
      <c r="F74" s="24"/>
      <c r="G74" s="24"/>
      <c r="H74" s="24"/>
      <c r="I74" s="24"/>
      <c r="J74" s="5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2.75" x14ac:dyDescent="0.2">
      <c r="A75" s="24"/>
      <c r="B75" s="24"/>
      <c r="C75" s="24"/>
      <c r="D75" s="24"/>
      <c r="E75" s="24"/>
      <c r="F75" s="24"/>
      <c r="G75" s="24"/>
      <c r="H75" s="24"/>
      <c r="I75" s="24"/>
      <c r="J75" s="5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2.75" x14ac:dyDescent="0.2">
      <c r="A76" s="24"/>
      <c r="B76" s="24"/>
      <c r="C76" s="24"/>
      <c r="D76" s="24"/>
      <c r="E76" s="24"/>
      <c r="F76" s="24"/>
      <c r="G76" s="24"/>
      <c r="H76" s="24"/>
      <c r="I76" s="24"/>
      <c r="J76" s="5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2.75" x14ac:dyDescent="0.2">
      <c r="A77" s="24"/>
      <c r="B77" s="24"/>
      <c r="C77" s="24"/>
      <c r="D77" s="24"/>
      <c r="E77" s="24"/>
      <c r="F77" s="24"/>
      <c r="G77" s="24"/>
      <c r="H77" s="24"/>
      <c r="I77" s="24"/>
      <c r="J77" s="5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2.75" x14ac:dyDescent="0.2">
      <c r="A78" s="24"/>
      <c r="B78" s="24"/>
      <c r="C78" s="24"/>
      <c r="D78" s="24"/>
      <c r="E78" s="24"/>
      <c r="F78" s="24"/>
      <c r="G78" s="24"/>
      <c r="H78" s="24"/>
      <c r="I78" s="24"/>
      <c r="J78" s="5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2.75" x14ac:dyDescent="0.2">
      <c r="A79" s="24"/>
      <c r="B79" s="24"/>
      <c r="C79" s="24"/>
      <c r="D79" s="24"/>
      <c r="E79" s="24"/>
      <c r="F79" s="24"/>
      <c r="G79" s="24"/>
      <c r="H79" s="24"/>
      <c r="I79" s="24"/>
      <c r="J79" s="5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2.75" x14ac:dyDescent="0.2">
      <c r="A80" s="24"/>
      <c r="B80" s="24"/>
      <c r="C80" s="24"/>
      <c r="D80" s="24"/>
      <c r="E80" s="24"/>
      <c r="F80" s="24"/>
      <c r="G80" s="24"/>
      <c r="H80" s="24"/>
      <c r="I80" s="24"/>
      <c r="J80" s="5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2.75" x14ac:dyDescent="0.2">
      <c r="A81" s="24"/>
      <c r="B81" s="24"/>
      <c r="C81" s="24"/>
      <c r="D81" s="24"/>
      <c r="E81" s="24"/>
      <c r="F81" s="24"/>
      <c r="G81" s="24"/>
      <c r="H81" s="24"/>
      <c r="I81" s="24"/>
      <c r="J81" s="5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2.75" x14ac:dyDescent="0.2">
      <c r="A82" s="24"/>
      <c r="B82" s="24"/>
      <c r="C82" s="24"/>
      <c r="D82" s="24"/>
      <c r="E82" s="24"/>
      <c r="F82" s="24"/>
      <c r="G82" s="24"/>
      <c r="H82" s="24"/>
      <c r="I82" s="24"/>
      <c r="J82" s="5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2.75" x14ac:dyDescent="0.2">
      <c r="A83" s="24"/>
      <c r="B83" s="24"/>
      <c r="C83" s="24"/>
      <c r="D83" s="24"/>
      <c r="E83" s="24"/>
      <c r="F83" s="24"/>
      <c r="G83" s="24"/>
      <c r="H83" s="24"/>
      <c r="I83" s="24"/>
      <c r="J83" s="5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2.75" x14ac:dyDescent="0.2">
      <c r="A84" s="24"/>
      <c r="B84" s="24"/>
      <c r="C84" s="24"/>
      <c r="D84" s="24"/>
      <c r="E84" s="24"/>
      <c r="F84" s="24"/>
      <c r="G84" s="24"/>
      <c r="H84" s="24"/>
      <c r="I84" s="24"/>
      <c r="J84" s="5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2.75" x14ac:dyDescent="0.2">
      <c r="A85" s="24"/>
      <c r="B85" s="24"/>
      <c r="C85" s="24"/>
      <c r="D85" s="24"/>
      <c r="E85" s="24"/>
      <c r="F85" s="24"/>
      <c r="G85" s="24"/>
      <c r="H85" s="24"/>
      <c r="I85" s="24"/>
      <c r="J85" s="5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2.75" x14ac:dyDescent="0.2">
      <c r="A86" s="24"/>
      <c r="B86" s="24"/>
      <c r="C86" s="24"/>
      <c r="D86" s="24"/>
      <c r="E86" s="24"/>
      <c r="F86" s="24"/>
      <c r="G86" s="24"/>
      <c r="H86" s="24"/>
      <c r="I86" s="24"/>
      <c r="J86" s="5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2.75" x14ac:dyDescent="0.2">
      <c r="A87" s="24"/>
      <c r="B87" s="24"/>
      <c r="C87" s="24"/>
      <c r="D87" s="24"/>
      <c r="E87" s="24"/>
      <c r="F87" s="24"/>
      <c r="G87" s="24"/>
      <c r="H87" s="24"/>
      <c r="I87" s="24"/>
      <c r="J87" s="5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2.75" x14ac:dyDescent="0.2">
      <c r="A88" s="24"/>
      <c r="B88" s="24"/>
      <c r="C88" s="24"/>
      <c r="D88" s="24"/>
      <c r="E88" s="24"/>
      <c r="F88" s="24"/>
      <c r="G88" s="24"/>
      <c r="H88" s="24"/>
      <c r="I88" s="24"/>
      <c r="J88" s="5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2.75" x14ac:dyDescent="0.2">
      <c r="A89" s="24"/>
      <c r="B89" s="24"/>
      <c r="C89" s="24"/>
      <c r="D89" s="24"/>
      <c r="E89" s="24"/>
      <c r="F89" s="24"/>
      <c r="G89" s="24"/>
      <c r="H89" s="24"/>
      <c r="I89" s="24"/>
      <c r="J89" s="5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2.75" x14ac:dyDescent="0.2">
      <c r="A90" s="24"/>
      <c r="B90" s="24"/>
      <c r="C90" s="24"/>
      <c r="D90" s="24"/>
      <c r="E90" s="24"/>
      <c r="F90" s="24"/>
      <c r="G90" s="24"/>
      <c r="H90" s="24"/>
      <c r="I90" s="24"/>
      <c r="J90" s="5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2.75" x14ac:dyDescent="0.2">
      <c r="A91" s="24"/>
      <c r="B91" s="24"/>
      <c r="C91" s="24"/>
      <c r="D91" s="24"/>
      <c r="E91" s="24"/>
      <c r="F91" s="24"/>
      <c r="G91" s="24"/>
      <c r="H91" s="24"/>
      <c r="I91" s="24"/>
      <c r="J91" s="5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2.75" x14ac:dyDescent="0.2">
      <c r="A92" s="24"/>
      <c r="B92" s="24"/>
      <c r="C92" s="24"/>
      <c r="D92" s="24"/>
      <c r="E92" s="24"/>
      <c r="F92" s="24"/>
      <c r="G92" s="24"/>
      <c r="H92" s="24"/>
      <c r="I92" s="24"/>
      <c r="J92" s="5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2.75" x14ac:dyDescent="0.2">
      <c r="A93" s="24"/>
      <c r="B93" s="24"/>
      <c r="C93" s="24"/>
      <c r="D93" s="24"/>
      <c r="E93" s="24"/>
      <c r="F93" s="24"/>
      <c r="G93" s="24"/>
      <c r="H93" s="24"/>
      <c r="I93" s="24"/>
      <c r="J93" s="5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2.75" x14ac:dyDescent="0.2">
      <c r="A94" s="24"/>
      <c r="B94" s="24"/>
      <c r="C94" s="24"/>
      <c r="D94" s="24"/>
      <c r="E94" s="24"/>
      <c r="F94" s="24"/>
      <c r="G94" s="24"/>
      <c r="H94" s="24"/>
      <c r="I94" s="24"/>
      <c r="J94" s="5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2.75" x14ac:dyDescent="0.2">
      <c r="A95" s="24"/>
      <c r="B95" s="24"/>
      <c r="C95" s="24"/>
      <c r="D95" s="24"/>
      <c r="E95" s="24"/>
      <c r="F95" s="24"/>
      <c r="G95" s="24"/>
      <c r="H95" s="24"/>
      <c r="I95" s="24"/>
      <c r="J95" s="5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2.75" x14ac:dyDescent="0.2">
      <c r="A96" s="24"/>
      <c r="B96" s="24"/>
      <c r="C96" s="24"/>
      <c r="D96" s="24"/>
      <c r="E96" s="24"/>
      <c r="F96" s="24"/>
      <c r="G96" s="24"/>
      <c r="H96" s="24"/>
      <c r="I96" s="24"/>
      <c r="J96" s="5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2.75" x14ac:dyDescent="0.2">
      <c r="A97" s="24"/>
      <c r="B97" s="24"/>
      <c r="C97" s="24"/>
      <c r="D97" s="24"/>
      <c r="E97" s="24"/>
      <c r="F97" s="24"/>
      <c r="G97" s="24"/>
      <c r="H97" s="24"/>
      <c r="I97" s="24"/>
      <c r="J97" s="5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2.75" x14ac:dyDescent="0.2">
      <c r="A98" s="24"/>
      <c r="B98" s="24"/>
      <c r="C98" s="24"/>
      <c r="D98" s="24"/>
      <c r="E98" s="24"/>
      <c r="F98" s="24"/>
      <c r="G98" s="24"/>
      <c r="H98" s="24"/>
      <c r="I98" s="24"/>
      <c r="J98" s="5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2.75" x14ac:dyDescent="0.2">
      <c r="A99" s="24"/>
      <c r="B99" s="24"/>
      <c r="C99" s="24"/>
      <c r="D99" s="24"/>
      <c r="E99" s="24"/>
      <c r="F99" s="24"/>
      <c r="G99" s="24"/>
      <c r="H99" s="24"/>
      <c r="I99" s="24"/>
      <c r="J99" s="5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2.75" x14ac:dyDescent="0.2">
      <c r="A100" s="24"/>
      <c r="B100" s="24"/>
      <c r="C100" s="24"/>
      <c r="D100" s="24"/>
      <c r="E100" s="24"/>
      <c r="F100" s="24"/>
      <c r="G100" s="24"/>
      <c r="H100" s="24"/>
      <c r="I100" s="24"/>
      <c r="J100" s="5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2.7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5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2.7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5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2.7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5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2.7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5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2.7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5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2.7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5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2.7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5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2.7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5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2.7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5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2.7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5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2.7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5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2.7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5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2.7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5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2.7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5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2.7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5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2.7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5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2.7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5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.7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5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2.7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5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2.7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5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2.7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5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2.7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5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2.7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5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2.7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5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2.7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5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2.7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5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2.7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5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2.7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5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2.7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5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2.7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5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2.7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5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2.7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5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2.7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5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2.7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5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2.7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5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2.7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5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2.7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5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2.7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5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2.7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5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2.7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5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2.7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5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2.7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5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2.7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5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2.7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5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2.7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5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2.7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5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2.7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5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2.7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5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2.7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5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2.7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5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2.7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5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2.7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5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2.7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5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2.7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5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2.7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5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2.7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5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2.7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5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2.7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5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2.7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5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2.7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5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2.7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5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2.7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5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2.7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5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2.7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5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2.7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5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2.7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5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2.7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5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2.7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5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2.7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5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2.7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5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2.7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5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2.7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5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2.7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5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2.7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5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2.7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5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2.7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5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2.7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5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2.7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5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2.7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5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2.7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5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2.7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5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2.7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5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2.7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5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2.7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5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2.7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5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2.7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5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2.7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5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2.7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5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2.7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5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2.7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5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2.7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5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2.7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5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2.7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5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2.7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5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2.7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5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2.7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5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2.7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5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2.7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5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2.7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5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2.7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5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2.7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5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2.7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5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2.7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5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2.7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5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2.7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5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2.7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5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2.7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5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2.7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5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2.7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5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2.7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5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2.7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5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2.7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5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2.7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5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2.7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5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2.7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5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2.7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5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2.7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5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2.7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5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2.7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5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2.7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5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2.7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5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2.7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5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2.7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5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2.7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5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2.7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5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2.7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5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2.7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5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2.7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5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2.7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5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2.7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5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2.7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5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2.7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5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2.7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5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2.7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5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2.7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5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2.7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5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2.7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5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2.7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5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2.7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5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2.7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5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2.7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5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2.7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5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2.7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5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2.7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5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2.7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5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2.7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5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2.7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5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2.7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5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2.7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5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2.7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5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2.7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5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2.7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5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2.7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5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2.7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5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2.7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5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2.7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5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2.7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5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2.7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5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2.7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5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2.7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5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2.7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5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2.7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5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2.7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5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2.7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5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2.7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5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2.7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5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2.7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5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2.7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5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2.7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5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2.7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5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2.7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5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2.7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5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2.7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5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2.7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5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2.7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5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2.7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5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2.7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5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2.7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5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2.7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5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2.7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5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2.7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5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2.7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5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2.7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5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2.7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5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2.7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5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2.7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5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2.7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5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2.7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5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2.7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5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2.7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5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2.7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5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2.7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5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2.7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5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2.7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5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2.7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5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2.7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5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2.7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5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2.7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5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2.7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5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2.7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5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2.7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5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2.7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5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2.7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5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2.7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5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2.7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5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2.7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5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2.7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5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2.7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5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2.7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5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2.7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5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2.7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5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2.7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5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2.7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5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2.7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5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2.7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5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2.7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5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2.7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5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2.7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5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2.7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5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2.7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5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2.7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5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2.7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5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2.7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5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2.7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5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2.7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5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2.7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5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2.7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5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2.7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5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2.7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5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2.7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5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2.7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5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2.7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5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2.7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5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2.7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5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2.7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5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2.7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5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2.7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5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2.7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5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2.7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5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2.7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5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2.7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5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2.7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5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2.7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5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2.7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5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2.7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5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2.7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5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2.7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5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2.7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5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2.7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5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2.7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5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2.7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5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2.7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5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2.7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5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2.7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5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2.7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5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2.7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5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2.7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5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2.7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5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2.7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5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2.7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5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2.7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5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2.7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5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2.7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5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2.7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5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2.7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5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2.7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5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2.7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5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2.7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5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2.7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5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2.7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5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2.7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5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2.7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5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2.7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5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2.7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5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2.7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5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2.7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5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2.7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5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2.7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5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2.7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5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2.7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5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2.7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5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2.7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5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2.7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5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2.7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5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2.7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5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2.7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5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2.7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5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2.7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5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2.7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5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2.7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5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2.7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5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2.7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5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2.7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5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2.7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5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2.7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5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2.7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5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2.7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5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2.7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5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2.7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5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2.7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5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2.7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5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2.7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5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2.7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5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2.7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5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2.7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5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2.7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5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2.7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5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2.7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5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2.7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5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2.7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5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2.7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5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2.7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5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2.7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5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2.7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5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2.7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5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2.7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5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2.7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5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2.7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5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2.7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5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2.7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5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2.7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5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2.7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5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2.7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5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2.7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5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2.7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5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2.7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5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2.7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5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2.7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5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2.7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5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2.7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5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2.7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5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2.7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5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2.7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5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2.7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5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2.7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5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2.7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5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2.7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5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2.7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5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2.7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5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2.7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5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2.7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5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2.7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5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2.7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5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2.7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5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2.7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5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2.7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5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2.7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5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2.7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5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2.7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5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2.7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5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2.7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5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2.7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5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2.7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5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2.7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5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2.75" x14ac:dyDescent="0.2">
      <c r="A455" s="24"/>
      <c r="B455" s="24"/>
      <c r="C455" s="24"/>
      <c r="D455" s="24"/>
      <c r="E455" s="24"/>
      <c r="F455" s="24"/>
      <c r="G455" s="24"/>
      <c r="H455" s="24"/>
      <c r="I455" s="24"/>
      <c r="J455" s="5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2.75" x14ac:dyDescent="0.2">
      <c r="A456" s="24"/>
      <c r="B456" s="24"/>
      <c r="C456" s="24"/>
      <c r="D456" s="24"/>
      <c r="E456" s="24"/>
      <c r="F456" s="24"/>
      <c r="G456" s="24"/>
      <c r="H456" s="24"/>
      <c r="I456" s="24"/>
      <c r="J456" s="5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2.75" x14ac:dyDescent="0.2">
      <c r="A457" s="24"/>
      <c r="B457" s="24"/>
      <c r="C457" s="24"/>
      <c r="D457" s="24"/>
      <c r="E457" s="24"/>
      <c r="F457" s="24"/>
      <c r="G457" s="24"/>
      <c r="H457" s="24"/>
      <c r="I457" s="24"/>
      <c r="J457" s="5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2.75" x14ac:dyDescent="0.2">
      <c r="A458" s="24"/>
      <c r="B458" s="24"/>
      <c r="C458" s="24"/>
      <c r="D458" s="24"/>
      <c r="E458" s="24"/>
      <c r="F458" s="24"/>
      <c r="G458" s="24"/>
      <c r="H458" s="24"/>
      <c r="I458" s="24"/>
      <c r="J458" s="5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2.75" x14ac:dyDescent="0.2">
      <c r="A459" s="24"/>
      <c r="B459" s="24"/>
      <c r="C459" s="24"/>
      <c r="D459" s="24"/>
      <c r="E459" s="24"/>
      <c r="F459" s="24"/>
      <c r="G459" s="24"/>
      <c r="H459" s="24"/>
      <c r="I459" s="24"/>
      <c r="J459" s="5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2.75" x14ac:dyDescent="0.2">
      <c r="A460" s="24"/>
      <c r="B460" s="24"/>
      <c r="C460" s="24"/>
      <c r="D460" s="24"/>
      <c r="E460" s="24"/>
      <c r="F460" s="24"/>
      <c r="G460" s="24"/>
      <c r="H460" s="24"/>
      <c r="I460" s="24"/>
      <c r="J460" s="5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2.75" x14ac:dyDescent="0.2">
      <c r="A461" s="24"/>
      <c r="B461" s="24"/>
      <c r="C461" s="24"/>
      <c r="D461" s="24"/>
      <c r="E461" s="24"/>
      <c r="F461" s="24"/>
      <c r="G461" s="24"/>
      <c r="H461" s="24"/>
      <c r="I461" s="24"/>
      <c r="J461" s="5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2.75" x14ac:dyDescent="0.2">
      <c r="A462" s="24"/>
      <c r="B462" s="24"/>
      <c r="C462" s="24"/>
      <c r="D462" s="24"/>
      <c r="E462" s="24"/>
      <c r="F462" s="24"/>
      <c r="G462" s="24"/>
      <c r="H462" s="24"/>
      <c r="I462" s="24"/>
      <c r="J462" s="5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2.75" x14ac:dyDescent="0.2">
      <c r="A463" s="24"/>
      <c r="B463" s="24"/>
      <c r="C463" s="24"/>
      <c r="D463" s="24"/>
      <c r="E463" s="24"/>
      <c r="F463" s="24"/>
      <c r="G463" s="24"/>
      <c r="H463" s="24"/>
      <c r="I463" s="24"/>
      <c r="J463" s="5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2.75" x14ac:dyDescent="0.2">
      <c r="A464" s="24"/>
      <c r="B464" s="24"/>
      <c r="C464" s="24"/>
      <c r="D464" s="24"/>
      <c r="E464" s="24"/>
      <c r="F464" s="24"/>
      <c r="G464" s="24"/>
      <c r="H464" s="24"/>
      <c r="I464" s="24"/>
      <c r="J464" s="5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2.75" x14ac:dyDescent="0.2">
      <c r="A465" s="24"/>
      <c r="B465" s="24"/>
      <c r="C465" s="24"/>
      <c r="D465" s="24"/>
      <c r="E465" s="24"/>
      <c r="F465" s="24"/>
      <c r="G465" s="24"/>
      <c r="H465" s="24"/>
      <c r="I465" s="24"/>
      <c r="J465" s="5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2.75" x14ac:dyDescent="0.2">
      <c r="A466" s="24"/>
      <c r="B466" s="24"/>
      <c r="C466" s="24"/>
      <c r="D466" s="24"/>
      <c r="E466" s="24"/>
      <c r="F466" s="24"/>
      <c r="G466" s="24"/>
      <c r="H466" s="24"/>
      <c r="I466" s="24"/>
      <c r="J466" s="5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2.75" x14ac:dyDescent="0.2">
      <c r="A467" s="24"/>
      <c r="B467" s="24"/>
      <c r="C467" s="24"/>
      <c r="D467" s="24"/>
      <c r="E467" s="24"/>
      <c r="F467" s="24"/>
      <c r="G467" s="24"/>
      <c r="H467" s="24"/>
      <c r="I467" s="24"/>
      <c r="J467" s="5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2.75" x14ac:dyDescent="0.2">
      <c r="A468" s="24"/>
      <c r="B468" s="24"/>
      <c r="C468" s="24"/>
      <c r="D468" s="24"/>
      <c r="E468" s="24"/>
      <c r="F468" s="24"/>
      <c r="G468" s="24"/>
      <c r="H468" s="24"/>
      <c r="I468" s="24"/>
      <c r="J468" s="5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2.75" x14ac:dyDescent="0.2">
      <c r="A469" s="24"/>
      <c r="B469" s="24"/>
      <c r="C469" s="24"/>
      <c r="D469" s="24"/>
      <c r="E469" s="24"/>
      <c r="F469" s="24"/>
      <c r="G469" s="24"/>
      <c r="H469" s="24"/>
      <c r="I469" s="24"/>
      <c r="J469" s="5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2.75" x14ac:dyDescent="0.2">
      <c r="A470" s="24"/>
      <c r="B470" s="24"/>
      <c r="C470" s="24"/>
      <c r="D470" s="24"/>
      <c r="E470" s="24"/>
      <c r="F470" s="24"/>
      <c r="G470" s="24"/>
      <c r="H470" s="24"/>
      <c r="I470" s="24"/>
      <c r="J470" s="5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2.75" x14ac:dyDescent="0.2">
      <c r="A471" s="24"/>
      <c r="B471" s="24"/>
      <c r="C471" s="24"/>
      <c r="D471" s="24"/>
      <c r="E471" s="24"/>
      <c r="F471" s="24"/>
      <c r="G471" s="24"/>
      <c r="H471" s="24"/>
      <c r="I471" s="24"/>
      <c r="J471" s="5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2.75" x14ac:dyDescent="0.2">
      <c r="A472" s="24"/>
      <c r="B472" s="24"/>
      <c r="C472" s="24"/>
      <c r="D472" s="24"/>
      <c r="E472" s="24"/>
      <c r="F472" s="24"/>
      <c r="G472" s="24"/>
      <c r="H472" s="24"/>
      <c r="I472" s="24"/>
      <c r="J472" s="5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2.75" x14ac:dyDescent="0.2">
      <c r="A473" s="24"/>
      <c r="B473" s="24"/>
      <c r="C473" s="24"/>
      <c r="D473" s="24"/>
      <c r="E473" s="24"/>
      <c r="F473" s="24"/>
      <c r="G473" s="24"/>
      <c r="H473" s="24"/>
      <c r="I473" s="24"/>
      <c r="J473" s="5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2.75" x14ac:dyDescent="0.2">
      <c r="A474" s="24"/>
      <c r="B474" s="24"/>
      <c r="C474" s="24"/>
      <c r="D474" s="24"/>
      <c r="E474" s="24"/>
      <c r="F474" s="24"/>
      <c r="G474" s="24"/>
      <c r="H474" s="24"/>
      <c r="I474" s="24"/>
      <c r="J474" s="5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2.75" x14ac:dyDescent="0.2">
      <c r="A475" s="24"/>
      <c r="B475" s="24"/>
      <c r="C475" s="24"/>
      <c r="D475" s="24"/>
      <c r="E475" s="24"/>
      <c r="F475" s="24"/>
      <c r="G475" s="24"/>
      <c r="H475" s="24"/>
      <c r="I475" s="24"/>
      <c r="J475" s="5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2.75" x14ac:dyDescent="0.2">
      <c r="A476" s="24"/>
      <c r="B476" s="24"/>
      <c r="C476" s="24"/>
      <c r="D476" s="24"/>
      <c r="E476" s="24"/>
      <c r="F476" s="24"/>
      <c r="G476" s="24"/>
      <c r="H476" s="24"/>
      <c r="I476" s="24"/>
      <c r="J476" s="5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2.75" x14ac:dyDescent="0.2">
      <c r="A477" s="24"/>
      <c r="B477" s="24"/>
      <c r="C477" s="24"/>
      <c r="D477" s="24"/>
      <c r="E477" s="24"/>
      <c r="F477" s="24"/>
      <c r="G477" s="24"/>
      <c r="H477" s="24"/>
      <c r="I477" s="24"/>
      <c r="J477" s="5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2.75" x14ac:dyDescent="0.2">
      <c r="A478" s="24"/>
      <c r="B478" s="24"/>
      <c r="C478" s="24"/>
      <c r="D478" s="24"/>
      <c r="E478" s="24"/>
      <c r="F478" s="24"/>
      <c r="G478" s="24"/>
      <c r="H478" s="24"/>
      <c r="I478" s="24"/>
      <c r="J478" s="5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2.75" x14ac:dyDescent="0.2">
      <c r="A479" s="24"/>
      <c r="B479" s="24"/>
      <c r="C479" s="24"/>
      <c r="D479" s="24"/>
      <c r="E479" s="24"/>
      <c r="F479" s="24"/>
      <c r="G479" s="24"/>
      <c r="H479" s="24"/>
      <c r="I479" s="24"/>
      <c r="J479" s="5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2.75" x14ac:dyDescent="0.2">
      <c r="A480" s="24"/>
      <c r="B480" s="24"/>
      <c r="C480" s="24"/>
      <c r="D480" s="24"/>
      <c r="E480" s="24"/>
      <c r="F480" s="24"/>
      <c r="G480" s="24"/>
      <c r="H480" s="24"/>
      <c r="I480" s="24"/>
      <c r="J480" s="5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2.75" x14ac:dyDescent="0.2">
      <c r="A481" s="24"/>
      <c r="B481" s="24"/>
      <c r="C481" s="24"/>
      <c r="D481" s="24"/>
      <c r="E481" s="24"/>
      <c r="F481" s="24"/>
      <c r="G481" s="24"/>
      <c r="H481" s="24"/>
      <c r="I481" s="24"/>
      <c r="J481" s="5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2.75" x14ac:dyDescent="0.2">
      <c r="A482" s="24"/>
      <c r="B482" s="24"/>
      <c r="C482" s="24"/>
      <c r="D482" s="24"/>
      <c r="E482" s="24"/>
      <c r="F482" s="24"/>
      <c r="G482" s="24"/>
      <c r="H482" s="24"/>
      <c r="I482" s="24"/>
      <c r="J482" s="5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2.75" x14ac:dyDescent="0.2">
      <c r="A483" s="24"/>
      <c r="B483" s="24"/>
      <c r="C483" s="24"/>
      <c r="D483" s="24"/>
      <c r="E483" s="24"/>
      <c r="F483" s="24"/>
      <c r="G483" s="24"/>
      <c r="H483" s="24"/>
      <c r="I483" s="24"/>
      <c r="J483" s="5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2.75" x14ac:dyDescent="0.2">
      <c r="A484" s="24"/>
      <c r="B484" s="24"/>
      <c r="C484" s="24"/>
      <c r="D484" s="24"/>
      <c r="E484" s="24"/>
      <c r="F484" s="24"/>
      <c r="G484" s="24"/>
      <c r="H484" s="24"/>
      <c r="I484" s="24"/>
      <c r="J484" s="5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2.75" x14ac:dyDescent="0.2">
      <c r="A485" s="24"/>
      <c r="B485" s="24"/>
      <c r="C485" s="24"/>
      <c r="D485" s="24"/>
      <c r="E485" s="24"/>
      <c r="F485" s="24"/>
      <c r="G485" s="24"/>
      <c r="H485" s="24"/>
      <c r="I485" s="24"/>
      <c r="J485" s="5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2.75" x14ac:dyDescent="0.2">
      <c r="A486" s="24"/>
      <c r="B486" s="24"/>
      <c r="C486" s="24"/>
      <c r="D486" s="24"/>
      <c r="E486" s="24"/>
      <c r="F486" s="24"/>
      <c r="G486" s="24"/>
      <c r="H486" s="24"/>
      <c r="I486" s="24"/>
      <c r="J486" s="5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2.75" x14ac:dyDescent="0.2">
      <c r="A487" s="24"/>
      <c r="B487" s="24"/>
      <c r="C487" s="24"/>
      <c r="D487" s="24"/>
      <c r="E487" s="24"/>
      <c r="F487" s="24"/>
      <c r="G487" s="24"/>
      <c r="H487" s="24"/>
      <c r="I487" s="24"/>
      <c r="J487" s="5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2.75" x14ac:dyDescent="0.2">
      <c r="A488" s="24"/>
      <c r="B488" s="24"/>
      <c r="C488" s="24"/>
      <c r="D488" s="24"/>
      <c r="E488" s="24"/>
      <c r="F488" s="24"/>
      <c r="G488" s="24"/>
      <c r="H488" s="24"/>
      <c r="I488" s="24"/>
      <c r="J488" s="5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2.75" x14ac:dyDescent="0.2">
      <c r="A489" s="24"/>
      <c r="B489" s="24"/>
      <c r="C489" s="24"/>
      <c r="D489" s="24"/>
      <c r="E489" s="24"/>
      <c r="F489" s="24"/>
      <c r="G489" s="24"/>
      <c r="H489" s="24"/>
      <c r="I489" s="24"/>
      <c r="J489" s="5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2.75" x14ac:dyDescent="0.2">
      <c r="A490" s="24"/>
      <c r="B490" s="24"/>
      <c r="C490" s="24"/>
      <c r="D490" s="24"/>
      <c r="E490" s="24"/>
      <c r="F490" s="24"/>
      <c r="G490" s="24"/>
      <c r="H490" s="24"/>
      <c r="I490" s="24"/>
      <c r="J490" s="5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2.75" x14ac:dyDescent="0.2">
      <c r="A491" s="24"/>
      <c r="B491" s="24"/>
      <c r="C491" s="24"/>
      <c r="D491" s="24"/>
      <c r="E491" s="24"/>
      <c r="F491" s="24"/>
      <c r="G491" s="24"/>
      <c r="H491" s="24"/>
      <c r="I491" s="24"/>
      <c r="J491" s="5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2.75" x14ac:dyDescent="0.2">
      <c r="A492" s="24"/>
      <c r="B492" s="24"/>
      <c r="C492" s="24"/>
      <c r="D492" s="24"/>
      <c r="E492" s="24"/>
      <c r="F492" s="24"/>
      <c r="G492" s="24"/>
      <c r="H492" s="24"/>
      <c r="I492" s="24"/>
      <c r="J492" s="5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2.75" x14ac:dyDescent="0.2">
      <c r="A493" s="24"/>
      <c r="B493" s="24"/>
      <c r="C493" s="24"/>
      <c r="D493" s="24"/>
      <c r="E493" s="24"/>
      <c r="F493" s="24"/>
      <c r="G493" s="24"/>
      <c r="H493" s="24"/>
      <c r="I493" s="24"/>
      <c r="J493" s="5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2.75" x14ac:dyDescent="0.2">
      <c r="A494" s="24"/>
      <c r="B494" s="24"/>
      <c r="C494" s="24"/>
      <c r="D494" s="24"/>
      <c r="E494" s="24"/>
      <c r="F494" s="24"/>
      <c r="G494" s="24"/>
      <c r="H494" s="24"/>
      <c r="I494" s="24"/>
      <c r="J494" s="5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2.75" x14ac:dyDescent="0.2">
      <c r="A495" s="24"/>
      <c r="B495" s="24"/>
      <c r="C495" s="24"/>
      <c r="D495" s="24"/>
      <c r="E495" s="24"/>
      <c r="F495" s="24"/>
      <c r="G495" s="24"/>
      <c r="H495" s="24"/>
      <c r="I495" s="24"/>
      <c r="J495" s="5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2.75" x14ac:dyDescent="0.2">
      <c r="A496" s="24"/>
      <c r="B496" s="24"/>
      <c r="C496" s="24"/>
      <c r="D496" s="24"/>
      <c r="E496" s="24"/>
      <c r="F496" s="24"/>
      <c r="G496" s="24"/>
      <c r="H496" s="24"/>
      <c r="I496" s="24"/>
      <c r="J496" s="5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2.75" x14ac:dyDescent="0.2">
      <c r="A497" s="24"/>
      <c r="B497" s="24"/>
      <c r="C497" s="24"/>
      <c r="D497" s="24"/>
      <c r="E497" s="24"/>
      <c r="F497" s="24"/>
      <c r="G497" s="24"/>
      <c r="H497" s="24"/>
      <c r="I497" s="24"/>
      <c r="J497" s="5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2.75" x14ac:dyDescent="0.2">
      <c r="A498" s="24"/>
      <c r="B498" s="24"/>
      <c r="C498" s="24"/>
      <c r="D498" s="24"/>
      <c r="E498" s="24"/>
      <c r="F498" s="24"/>
      <c r="G498" s="24"/>
      <c r="H498" s="24"/>
      <c r="I498" s="24"/>
      <c r="J498" s="5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2.75" x14ac:dyDescent="0.2">
      <c r="A499" s="24"/>
      <c r="B499" s="24"/>
      <c r="C499" s="24"/>
      <c r="D499" s="24"/>
      <c r="E499" s="24"/>
      <c r="F499" s="24"/>
      <c r="G499" s="24"/>
      <c r="H499" s="24"/>
      <c r="I499" s="24"/>
      <c r="J499" s="5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2.75" x14ac:dyDescent="0.2">
      <c r="A500" s="24"/>
      <c r="B500" s="24"/>
      <c r="C500" s="24"/>
      <c r="D500" s="24"/>
      <c r="E500" s="24"/>
      <c r="F500" s="24"/>
      <c r="G500" s="24"/>
      <c r="H500" s="24"/>
      <c r="I500" s="24"/>
      <c r="J500" s="5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2.75" x14ac:dyDescent="0.2">
      <c r="A501" s="24"/>
      <c r="B501" s="24"/>
      <c r="C501" s="24"/>
      <c r="D501" s="24"/>
      <c r="E501" s="24"/>
      <c r="F501" s="24"/>
      <c r="G501" s="24"/>
      <c r="H501" s="24"/>
      <c r="I501" s="24"/>
      <c r="J501" s="5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2.75" x14ac:dyDescent="0.2">
      <c r="A502" s="24"/>
      <c r="B502" s="24"/>
      <c r="C502" s="24"/>
      <c r="D502" s="24"/>
      <c r="E502" s="24"/>
      <c r="F502" s="24"/>
      <c r="G502" s="24"/>
      <c r="H502" s="24"/>
      <c r="I502" s="24"/>
      <c r="J502" s="5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2.75" x14ac:dyDescent="0.2">
      <c r="A503" s="24"/>
      <c r="B503" s="24"/>
      <c r="C503" s="24"/>
      <c r="D503" s="24"/>
      <c r="E503" s="24"/>
      <c r="F503" s="24"/>
      <c r="G503" s="24"/>
      <c r="H503" s="24"/>
      <c r="I503" s="24"/>
      <c r="J503" s="5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2.75" x14ac:dyDescent="0.2">
      <c r="A504" s="24"/>
      <c r="B504" s="24"/>
      <c r="C504" s="24"/>
      <c r="D504" s="24"/>
      <c r="E504" s="24"/>
      <c r="F504" s="24"/>
      <c r="G504" s="24"/>
      <c r="H504" s="24"/>
      <c r="I504" s="24"/>
      <c r="J504" s="5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2.75" x14ac:dyDescent="0.2">
      <c r="A505" s="24"/>
      <c r="B505" s="24"/>
      <c r="C505" s="24"/>
      <c r="D505" s="24"/>
      <c r="E505" s="24"/>
      <c r="F505" s="24"/>
      <c r="G505" s="24"/>
      <c r="H505" s="24"/>
      <c r="I505" s="24"/>
      <c r="J505" s="5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2.75" x14ac:dyDescent="0.2">
      <c r="A506" s="24"/>
      <c r="B506" s="24"/>
      <c r="C506" s="24"/>
      <c r="D506" s="24"/>
      <c r="E506" s="24"/>
      <c r="F506" s="24"/>
      <c r="G506" s="24"/>
      <c r="H506" s="24"/>
      <c r="I506" s="24"/>
      <c r="J506" s="5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2.75" x14ac:dyDescent="0.2">
      <c r="A507" s="24"/>
      <c r="B507" s="24"/>
      <c r="C507" s="24"/>
      <c r="D507" s="24"/>
      <c r="E507" s="24"/>
      <c r="F507" s="24"/>
      <c r="G507" s="24"/>
      <c r="H507" s="24"/>
      <c r="I507" s="24"/>
      <c r="J507" s="5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2.75" x14ac:dyDescent="0.2">
      <c r="A508" s="24"/>
      <c r="B508" s="24"/>
      <c r="C508" s="24"/>
      <c r="D508" s="24"/>
      <c r="E508" s="24"/>
      <c r="F508" s="24"/>
      <c r="G508" s="24"/>
      <c r="H508" s="24"/>
      <c r="I508" s="24"/>
      <c r="J508" s="5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2.75" x14ac:dyDescent="0.2">
      <c r="A509" s="24"/>
      <c r="B509" s="24"/>
      <c r="C509" s="24"/>
      <c r="D509" s="24"/>
      <c r="E509" s="24"/>
      <c r="F509" s="24"/>
      <c r="G509" s="24"/>
      <c r="H509" s="24"/>
      <c r="I509" s="24"/>
      <c r="J509" s="5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2.75" x14ac:dyDescent="0.2">
      <c r="A510" s="24"/>
      <c r="B510" s="24"/>
      <c r="C510" s="24"/>
      <c r="D510" s="24"/>
      <c r="E510" s="24"/>
      <c r="F510" s="24"/>
      <c r="G510" s="24"/>
      <c r="H510" s="24"/>
      <c r="I510" s="24"/>
      <c r="J510" s="5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2.75" x14ac:dyDescent="0.2">
      <c r="A511" s="24"/>
      <c r="B511" s="24"/>
      <c r="C511" s="24"/>
      <c r="D511" s="24"/>
      <c r="E511" s="24"/>
      <c r="F511" s="24"/>
      <c r="G511" s="24"/>
      <c r="H511" s="24"/>
      <c r="I511" s="24"/>
      <c r="J511" s="5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2.75" x14ac:dyDescent="0.2">
      <c r="A512" s="24"/>
      <c r="B512" s="24"/>
      <c r="C512" s="24"/>
      <c r="D512" s="24"/>
      <c r="E512" s="24"/>
      <c r="F512" s="24"/>
      <c r="G512" s="24"/>
      <c r="H512" s="24"/>
      <c r="I512" s="24"/>
      <c r="J512" s="5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2.75" x14ac:dyDescent="0.2">
      <c r="A513" s="24"/>
      <c r="B513" s="24"/>
      <c r="C513" s="24"/>
      <c r="D513" s="24"/>
      <c r="E513" s="24"/>
      <c r="F513" s="24"/>
      <c r="G513" s="24"/>
      <c r="H513" s="24"/>
      <c r="I513" s="24"/>
      <c r="J513" s="5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2.75" x14ac:dyDescent="0.2">
      <c r="A514" s="24"/>
      <c r="B514" s="24"/>
      <c r="C514" s="24"/>
      <c r="D514" s="24"/>
      <c r="E514" s="24"/>
      <c r="F514" s="24"/>
      <c r="G514" s="24"/>
      <c r="H514" s="24"/>
      <c r="I514" s="24"/>
      <c r="J514" s="5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2.75" x14ac:dyDescent="0.2">
      <c r="A515" s="24"/>
      <c r="B515" s="24"/>
      <c r="C515" s="24"/>
      <c r="D515" s="24"/>
      <c r="E515" s="24"/>
      <c r="F515" s="24"/>
      <c r="G515" s="24"/>
      <c r="H515" s="24"/>
      <c r="I515" s="24"/>
      <c r="J515" s="5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2.75" x14ac:dyDescent="0.2">
      <c r="A516" s="24"/>
      <c r="B516" s="24"/>
      <c r="C516" s="24"/>
      <c r="D516" s="24"/>
      <c r="E516" s="24"/>
      <c r="F516" s="24"/>
      <c r="G516" s="24"/>
      <c r="H516" s="24"/>
      <c r="I516" s="24"/>
      <c r="J516" s="5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2.75" x14ac:dyDescent="0.2">
      <c r="A517" s="24"/>
      <c r="B517" s="24"/>
      <c r="C517" s="24"/>
      <c r="D517" s="24"/>
      <c r="E517" s="24"/>
      <c r="F517" s="24"/>
      <c r="G517" s="24"/>
      <c r="H517" s="24"/>
      <c r="I517" s="24"/>
      <c r="J517" s="5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2.75" x14ac:dyDescent="0.2">
      <c r="A518" s="24"/>
      <c r="B518" s="24"/>
      <c r="C518" s="24"/>
      <c r="D518" s="24"/>
      <c r="E518" s="24"/>
      <c r="F518" s="24"/>
      <c r="G518" s="24"/>
      <c r="H518" s="24"/>
      <c r="I518" s="24"/>
      <c r="J518" s="5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2.75" x14ac:dyDescent="0.2">
      <c r="A519" s="24"/>
      <c r="B519" s="24"/>
      <c r="C519" s="24"/>
      <c r="D519" s="24"/>
      <c r="E519" s="24"/>
      <c r="F519" s="24"/>
      <c r="G519" s="24"/>
      <c r="H519" s="24"/>
      <c r="I519" s="24"/>
      <c r="J519" s="5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2.75" x14ac:dyDescent="0.2">
      <c r="A520" s="24"/>
      <c r="B520" s="24"/>
      <c r="C520" s="24"/>
      <c r="D520" s="24"/>
      <c r="E520" s="24"/>
      <c r="F520" s="24"/>
      <c r="G520" s="24"/>
      <c r="H520" s="24"/>
      <c r="I520" s="24"/>
      <c r="J520" s="5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2.75" x14ac:dyDescent="0.2">
      <c r="A521" s="24"/>
      <c r="B521" s="24"/>
      <c r="C521" s="24"/>
      <c r="D521" s="24"/>
      <c r="E521" s="24"/>
      <c r="F521" s="24"/>
      <c r="G521" s="24"/>
      <c r="H521" s="24"/>
      <c r="I521" s="24"/>
      <c r="J521" s="5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2.75" x14ac:dyDescent="0.2">
      <c r="A522" s="24"/>
      <c r="B522" s="24"/>
      <c r="C522" s="24"/>
      <c r="D522" s="24"/>
      <c r="E522" s="24"/>
      <c r="F522" s="24"/>
      <c r="G522" s="24"/>
      <c r="H522" s="24"/>
      <c r="I522" s="24"/>
      <c r="J522" s="5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2.75" x14ac:dyDescent="0.2">
      <c r="A523" s="24"/>
      <c r="B523" s="24"/>
      <c r="C523" s="24"/>
      <c r="D523" s="24"/>
      <c r="E523" s="24"/>
      <c r="F523" s="24"/>
      <c r="G523" s="24"/>
      <c r="H523" s="24"/>
      <c r="I523" s="24"/>
      <c r="J523" s="5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2.75" x14ac:dyDescent="0.2">
      <c r="A524" s="24"/>
      <c r="B524" s="24"/>
      <c r="C524" s="24"/>
      <c r="D524" s="24"/>
      <c r="E524" s="24"/>
      <c r="F524" s="24"/>
      <c r="G524" s="24"/>
      <c r="H524" s="24"/>
      <c r="I524" s="24"/>
      <c r="J524" s="5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2.75" x14ac:dyDescent="0.2">
      <c r="A525" s="24"/>
      <c r="B525" s="24"/>
      <c r="C525" s="24"/>
      <c r="D525" s="24"/>
      <c r="E525" s="24"/>
      <c r="F525" s="24"/>
      <c r="G525" s="24"/>
      <c r="H525" s="24"/>
      <c r="I525" s="24"/>
      <c r="J525" s="5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2.75" x14ac:dyDescent="0.2">
      <c r="A526" s="24"/>
      <c r="B526" s="24"/>
      <c r="C526" s="24"/>
      <c r="D526" s="24"/>
      <c r="E526" s="24"/>
      <c r="F526" s="24"/>
      <c r="G526" s="24"/>
      <c r="H526" s="24"/>
      <c r="I526" s="24"/>
      <c r="J526" s="5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2.75" x14ac:dyDescent="0.2">
      <c r="A527" s="24"/>
      <c r="B527" s="24"/>
      <c r="C527" s="24"/>
      <c r="D527" s="24"/>
      <c r="E527" s="24"/>
      <c r="F527" s="24"/>
      <c r="G527" s="24"/>
      <c r="H527" s="24"/>
      <c r="I527" s="24"/>
      <c r="J527" s="5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2.75" x14ac:dyDescent="0.2">
      <c r="A528" s="24"/>
      <c r="B528" s="24"/>
      <c r="C528" s="24"/>
      <c r="D528" s="24"/>
      <c r="E528" s="24"/>
      <c r="F528" s="24"/>
      <c r="G528" s="24"/>
      <c r="H528" s="24"/>
      <c r="I528" s="24"/>
      <c r="J528" s="5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2.75" x14ac:dyDescent="0.2">
      <c r="A529" s="24"/>
      <c r="B529" s="24"/>
      <c r="C529" s="24"/>
      <c r="D529" s="24"/>
      <c r="E529" s="24"/>
      <c r="F529" s="24"/>
      <c r="G529" s="24"/>
      <c r="H529" s="24"/>
      <c r="I529" s="24"/>
      <c r="J529" s="5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2.75" x14ac:dyDescent="0.2">
      <c r="A530" s="24"/>
      <c r="B530" s="24"/>
      <c r="C530" s="24"/>
      <c r="D530" s="24"/>
      <c r="E530" s="24"/>
      <c r="F530" s="24"/>
      <c r="G530" s="24"/>
      <c r="H530" s="24"/>
      <c r="I530" s="24"/>
      <c r="J530" s="5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2.75" x14ac:dyDescent="0.2">
      <c r="A531" s="24"/>
      <c r="B531" s="24"/>
      <c r="C531" s="24"/>
      <c r="D531" s="24"/>
      <c r="E531" s="24"/>
      <c r="F531" s="24"/>
      <c r="G531" s="24"/>
      <c r="H531" s="24"/>
      <c r="I531" s="24"/>
      <c r="J531" s="5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2.75" x14ac:dyDescent="0.2">
      <c r="A532" s="24"/>
      <c r="B532" s="24"/>
      <c r="C532" s="24"/>
      <c r="D532" s="24"/>
      <c r="E532" s="24"/>
      <c r="F532" s="24"/>
      <c r="G532" s="24"/>
      <c r="H532" s="24"/>
      <c r="I532" s="24"/>
      <c r="J532" s="5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2.75" x14ac:dyDescent="0.2">
      <c r="A533" s="24"/>
      <c r="B533" s="24"/>
      <c r="C533" s="24"/>
      <c r="D533" s="24"/>
      <c r="E533" s="24"/>
      <c r="F533" s="24"/>
      <c r="G533" s="24"/>
      <c r="H533" s="24"/>
      <c r="I533" s="24"/>
      <c r="J533" s="5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2.75" x14ac:dyDescent="0.2">
      <c r="A534" s="24"/>
      <c r="B534" s="24"/>
      <c r="C534" s="24"/>
      <c r="D534" s="24"/>
      <c r="E534" s="24"/>
      <c r="F534" s="24"/>
      <c r="G534" s="24"/>
      <c r="H534" s="24"/>
      <c r="I534" s="24"/>
      <c r="J534" s="5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2.75" x14ac:dyDescent="0.2">
      <c r="A535" s="24"/>
      <c r="B535" s="24"/>
      <c r="C535" s="24"/>
      <c r="D535" s="24"/>
      <c r="E535" s="24"/>
      <c r="F535" s="24"/>
      <c r="G535" s="24"/>
      <c r="H535" s="24"/>
      <c r="I535" s="24"/>
      <c r="J535" s="5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2.75" x14ac:dyDescent="0.2">
      <c r="A536" s="24"/>
      <c r="B536" s="24"/>
      <c r="C536" s="24"/>
      <c r="D536" s="24"/>
      <c r="E536" s="24"/>
      <c r="F536" s="24"/>
      <c r="G536" s="24"/>
      <c r="H536" s="24"/>
      <c r="I536" s="24"/>
      <c r="J536" s="5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2.75" x14ac:dyDescent="0.2">
      <c r="A537" s="24"/>
      <c r="B537" s="24"/>
      <c r="C537" s="24"/>
      <c r="D537" s="24"/>
      <c r="E537" s="24"/>
      <c r="F537" s="24"/>
      <c r="G537" s="24"/>
      <c r="H537" s="24"/>
      <c r="I537" s="24"/>
      <c r="J537" s="5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2.75" x14ac:dyDescent="0.2">
      <c r="A538" s="24"/>
      <c r="B538" s="24"/>
      <c r="C538" s="24"/>
      <c r="D538" s="24"/>
      <c r="E538" s="24"/>
      <c r="F538" s="24"/>
      <c r="G538" s="24"/>
      <c r="H538" s="24"/>
      <c r="I538" s="24"/>
      <c r="J538" s="5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2.75" x14ac:dyDescent="0.2">
      <c r="A539" s="24"/>
      <c r="B539" s="24"/>
      <c r="C539" s="24"/>
      <c r="D539" s="24"/>
      <c r="E539" s="24"/>
      <c r="F539" s="24"/>
      <c r="G539" s="24"/>
      <c r="H539" s="24"/>
      <c r="I539" s="24"/>
      <c r="J539" s="5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2.75" x14ac:dyDescent="0.2">
      <c r="A540" s="24"/>
      <c r="B540" s="24"/>
      <c r="C540" s="24"/>
      <c r="D540" s="24"/>
      <c r="E540" s="24"/>
      <c r="F540" s="24"/>
      <c r="G540" s="24"/>
      <c r="H540" s="24"/>
      <c r="I540" s="24"/>
      <c r="J540" s="5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2.75" x14ac:dyDescent="0.2">
      <c r="A541" s="24"/>
      <c r="B541" s="24"/>
      <c r="C541" s="24"/>
      <c r="D541" s="24"/>
      <c r="E541" s="24"/>
      <c r="F541" s="24"/>
      <c r="G541" s="24"/>
      <c r="H541" s="24"/>
      <c r="I541" s="24"/>
      <c r="J541" s="5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2.75" x14ac:dyDescent="0.2">
      <c r="A542" s="24"/>
      <c r="B542" s="24"/>
      <c r="C542" s="24"/>
      <c r="D542" s="24"/>
      <c r="E542" s="24"/>
      <c r="F542" s="24"/>
      <c r="G542" s="24"/>
      <c r="H542" s="24"/>
      <c r="I542" s="24"/>
      <c r="J542" s="5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2.75" x14ac:dyDescent="0.2">
      <c r="A543" s="24"/>
      <c r="B543" s="24"/>
      <c r="C543" s="24"/>
      <c r="D543" s="24"/>
      <c r="E543" s="24"/>
      <c r="F543" s="24"/>
      <c r="G543" s="24"/>
      <c r="H543" s="24"/>
      <c r="I543" s="24"/>
      <c r="J543" s="5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2.75" x14ac:dyDescent="0.2">
      <c r="A544" s="24"/>
      <c r="B544" s="24"/>
      <c r="C544" s="24"/>
      <c r="D544" s="24"/>
      <c r="E544" s="24"/>
      <c r="F544" s="24"/>
      <c r="G544" s="24"/>
      <c r="H544" s="24"/>
      <c r="I544" s="24"/>
      <c r="J544" s="5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2.75" x14ac:dyDescent="0.2">
      <c r="A545" s="24"/>
      <c r="B545" s="24"/>
      <c r="C545" s="24"/>
      <c r="D545" s="24"/>
      <c r="E545" s="24"/>
      <c r="F545" s="24"/>
      <c r="G545" s="24"/>
      <c r="H545" s="24"/>
      <c r="I545" s="24"/>
      <c r="J545" s="5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2.75" x14ac:dyDescent="0.2">
      <c r="A546" s="24"/>
      <c r="B546" s="24"/>
      <c r="C546" s="24"/>
      <c r="D546" s="24"/>
      <c r="E546" s="24"/>
      <c r="F546" s="24"/>
      <c r="G546" s="24"/>
      <c r="H546" s="24"/>
      <c r="I546" s="24"/>
      <c r="J546" s="5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2.75" x14ac:dyDescent="0.2">
      <c r="A547" s="24"/>
      <c r="B547" s="24"/>
      <c r="C547" s="24"/>
      <c r="D547" s="24"/>
      <c r="E547" s="24"/>
      <c r="F547" s="24"/>
      <c r="G547" s="24"/>
      <c r="H547" s="24"/>
      <c r="I547" s="24"/>
      <c r="J547" s="5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2.75" x14ac:dyDescent="0.2">
      <c r="A548" s="24"/>
      <c r="B548" s="24"/>
      <c r="C548" s="24"/>
      <c r="D548" s="24"/>
      <c r="E548" s="24"/>
      <c r="F548" s="24"/>
      <c r="G548" s="24"/>
      <c r="H548" s="24"/>
      <c r="I548" s="24"/>
      <c r="J548" s="5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2.75" x14ac:dyDescent="0.2">
      <c r="A549" s="24"/>
      <c r="B549" s="24"/>
      <c r="C549" s="24"/>
      <c r="D549" s="24"/>
      <c r="E549" s="24"/>
      <c r="F549" s="24"/>
      <c r="G549" s="24"/>
      <c r="H549" s="24"/>
      <c r="I549" s="24"/>
      <c r="J549" s="5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2.75" x14ac:dyDescent="0.2">
      <c r="A550" s="24"/>
      <c r="B550" s="24"/>
      <c r="C550" s="24"/>
      <c r="D550" s="24"/>
      <c r="E550" s="24"/>
      <c r="F550" s="24"/>
      <c r="G550" s="24"/>
      <c r="H550" s="24"/>
      <c r="I550" s="24"/>
      <c r="J550" s="5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2.75" x14ac:dyDescent="0.2">
      <c r="A551" s="24"/>
      <c r="B551" s="24"/>
      <c r="C551" s="24"/>
      <c r="D551" s="24"/>
      <c r="E551" s="24"/>
      <c r="F551" s="24"/>
      <c r="G551" s="24"/>
      <c r="H551" s="24"/>
      <c r="I551" s="24"/>
      <c r="J551" s="5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2.75" x14ac:dyDescent="0.2">
      <c r="A552" s="24"/>
      <c r="B552" s="24"/>
      <c r="C552" s="24"/>
      <c r="D552" s="24"/>
      <c r="E552" s="24"/>
      <c r="F552" s="24"/>
      <c r="G552" s="24"/>
      <c r="H552" s="24"/>
      <c r="I552" s="24"/>
      <c r="J552" s="5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2.75" x14ac:dyDescent="0.2">
      <c r="A553" s="24"/>
      <c r="B553" s="24"/>
      <c r="C553" s="24"/>
      <c r="D553" s="24"/>
      <c r="E553" s="24"/>
      <c r="F553" s="24"/>
      <c r="G553" s="24"/>
      <c r="H553" s="24"/>
      <c r="I553" s="24"/>
      <c r="J553" s="5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2.75" x14ac:dyDescent="0.2">
      <c r="A554" s="24"/>
      <c r="B554" s="24"/>
      <c r="C554" s="24"/>
      <c r="D554" s="24"/>
      <c r="E554" s="24"/>
      <c r="F554" s="24"/>
      <c r="G554" s="24"/>
      <c r="H554" s="24"/>
      <c r="I554" s="24"/>
      <c r="J554" s="5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2.75" x14ac:dyDescent="0.2">
      <c r="A555" s="24"/>
      <c r="B555" s="24"/>
      <c r="C555" s="24"/>
      <c r="D555" s="24"/>
      <c r="E555" s="24"/>
      <c r="F555" s="24"/>
      <c r="G555" s="24"/>
      <c r="H555" s="24"/>
      <c r="I555" s="24"/>
      <c r="J555" s="5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2.75" x14ac:dyDescent="0.2">
      <c r="A556" s="24"/>
      <c r="B556" s="24"/>
      <c r="C556" s="24"/>
      <c r="D556" s="24"/>
      <c r="E556" s="24"/>
      <c r="F556" s="24"/>
      <c r="G556" s="24"/>
      <c r="H556" s="24"/>
      <c r="I556" s="24"/>
      <c r="J556" s="5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2.75" x14ac:dyDescent="0.2">
      <c r="A557" s="24"/>
      <c r="B557" s="24"/>
      <c r="C557" s="24"/>
      <c r="D557" s="24"/>
      <c r="E557" s="24"/>
      <c r="F557" s="24"/>
      <c r="G557" s="24"/>
      <c r="H557" s="24"/>
      <c r="I557" s="24"/>
      <c r="J557" s="5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2.75" x14ac:dyDescent="0.2">
      <c r="A558" s="24"/>
      <c r="B558" s="24"/>
      <c r="C558" s="24"/>
      <c r="D558" s="24"/>
      <c r="E558" s="24"/>
      <c r="F558" s="24"/>
      <c r="G558" s="24"/>
      <c r="H558" s="24"/>
      <c r="I558" s="24"/>
      <c r="J558" s="5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2.75" x14ac:dyDescent="0.2">
      <c r="A559" s="24"/>
      <c r="B559" s="24"/>
      <c r="C559" s="24"/>
      <c r="D559" s="24"/>
      <c r="E559" s="24"/>
      <c r="F559" s="24"/>
      <c r="G559" s="24"/>
      <c r="H559" s="24"/>
      <c r="I559" s="24"/>
      <c r="J559" s="5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2.75" x14ac:dyDescent="0.2">
      <c r="A560" s="24"/>
      <c r="B560" s="24"/>
      <c r="C560" s="24"/>
      <c r="D560" s="24"/>
      <c r="E560" s="24"/>
      <c r="F560" s="24"/>
      <c r="G560" s="24"/>
      <c r="H560" s="24"/>
      <c r="I560" s="24"/>
      <c r="J560" s="5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2.75" x14ac:dyDescent="0.2">
      <c r="A561" s="24"/>
      <c r="B561" s="24"/>
      <c r="C561" s="24"/>
      <c r="D561" s="24"/>
      <c r="E561" s="24"/>
      <c r="F561" s="24"/>
      <c r="G561" s="24"/>
      <c r="H561" s="24"/>
      <c r="I561" s="24"/>
      <c r="J561" s="5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2.75" x14ac:dyDescent="0.2">
      <c r="A562" s="24"/>
      <c r="B562" s="24"/>
      <c r="C562" s="24"/>
      <c r="D562" s="24"/>
      <c r="E562" s="24"/>
      <c r="F562" s="24"/>
      <c r="G562" s="24"/>
      <c r="H562" s="24"/>
      <c r="I562" s="24"/>
      <c r="J562" s="5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2.75" x14ac:dyDescent="0.2">
      <c r="A563" s="24"/>
      <c r="B563" s="24"/>
      <c r="C563" s="24"/>
      <c r="D563" s="24"/>
      <c r="E563" s="24"/>
      <c r="F563" s="24"/>
      <c r="G563" s="24"/>
      <c r="H563" s="24"/>
      <c r="I563" s="24"/>
      <c r="J563" s="5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2.75" x14ac:dyDescent="0.2">
      <c r="A564" s="24"/>
      <c r="B564" s="24"/>
      <c r="C564" s="24"/>
      <c r="D564" s="24"/>
      <c r="E564" s="24"/>
      <c r="F564" s="24"/>
      <c r="G564" s="24"/>
      <c r="H564" s="24"/>
      <c r="I564" s="24"/>
      <c r="J564" s="5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2.75" x14ac:dyDescent="0.2">
      <c r="A565" s="24"/>
      <c r="B565" s="24"/>
      <c r="C565" s="24"/>
      <c r="D565" s="24"/>
      <c r="E565" s="24"/>
      <c r="F565" s="24"/>
      <c r="G565" s="24"/>
      <c r="H565" s="24"/>
      <c r="I565" s="24"/>
      <c r="J565" s="5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2.75" x14ac:dyDescent="0.2">
      <c r="A566" s="24"/>
      <c r="B566" s="24"/>
      <c r="C566" s="24"/>
      <c r="D566" s="24"/>
      <c r="E566" s="24"/>
      <c r="F566" s="24"/>
      <c r="G566" s="24"/>
      <c r="H566" s="24"/>
      <c r="I566" s="24"/>
      <c r="J566" s="5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2.75" x14ac:dyDescent="0.2">
      <c r="A567" s="24"/>
      <c r="B567" s="24"/>
      <c r="C567" s="24"/>
      <c r="D567" s="24"/>
      <c r="E567" s="24"/>
      <c r="F567" s="24"/>
      <c r="G567" s="24"/>
      <c r="H567" s="24"/>
      <c r="I567" s="24"/>
      <c r="J567" s="5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2.75" x14ac:dyDescent="0.2">
      <c r="A568" s="24"/>
      <c r="B568" s="24"/>
      <c r="C568" s="24"/>
      <c r="D568" s="24"/>
      <c r="E568" s="24"/>
      <c r="F568" s="24"/>
      <c r="G568" s="24"/>
      <c r="H568" s="24"/>
      <c r="I568" s="24"/>
      <c r="J568" s="5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2.75" x14ac:dyDescent="0.2">
      <c r="A569" s="24"/>
      <c r="B569" s="24"/>
      <c r="C569" s="24"/>
      <c r="D569" s="24"/>
      <c r="E569" s="24"/>
      <c r="F569" s="24"/>
      <c r="G569" s="24"/>
      <c r="H569" s="24"/>
      <c r="I569" s="24"/>
      <c r="J569" s="5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2.75" x14ac:dyDescent="0.2">
      <c r="A570" s="24"/>
      <c r="B570" s="24"/>
      <c r="C570" s="24"/>
      <c r="D570" s="24"/>
      <c r="E570" s="24"/>
      <c r="F570" s="24"/>
      <c r="G570" s="24"/>
      <c r="H570" s="24"/>
      <c r="I570" s="24"/>
      <c r="J570" s="5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2.75" x14ac:dyDescent="0.2">
      <c r="A571" s="24"/>
      <c r="B571" s="24"/>
      <c r="C571" s="24"/>
      <c r="D571" s="24"/>
      <c r="E571" s="24"/>
      <c r="F571" s="24"/>
      <c r="G571" s="24"/>
      <c r="H571" s="24"/>
      <c r="I571" s="24"/>
      <c r="J571" s="5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2.75" x14ac:dyDescent="0.2">
      <c r="A572" s="24"/>
      <c r="B572" s="24"/>
      <c r="C572" s="24"/>
      <c r="D572" s="24"/>
      <c r="E572" s="24"/>
      <c r="F572" s="24"/>
      <c r="G572" s="24"/>
      <c r="H572" s="24"/>
      <c r="I572" s="24"/>
      <c r="J572" s="5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2.75" x14ac:dyDescent="0.2">
      <c r="A573" s="24"/>
      <c r="B573" s="24"/>
      <c r="C573" s="24"/>
      <c r="D573" s="24"/>
      <c r="E573" s="24"/>
      <c r="F573" s="24"/>
      <c r="G573" s="24"/>
      <c r="H573" s="24"/>
      <c r="I573" s="24"/>
      <c r="J573" s="5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2.75" x14ac:dyDescent="0.2">
      <c r="A574" s="24"/>
      <c r="B574" s="24"/>
      <c r="C574" s="24"/>
      <c r="D574" s="24"/>
      <c r="E574" s="24"/>
      <c r="F574" s="24"/>
      <c r="G574" s="24"/>
      <c r="H574" s="24"/>
      <c r="I574" s="24"/>
      <c r="J574" s="5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2.75" x14ac:dyDescent="0.2">
      <c r="A575" s="24"/>
      <c r="B575" s="24"/>
      <c r="C575" s="24"/>
      <c r="D575" s="24"/>
      <c r="E575" s="24"/>
      <c r="F575" s="24"/>
      <c r="G575" s="24"/>
      <c r="H575" s="24"/>
      <c r="I575" s="24"/>
      <c r="J575" s="5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2.75" x14ac:dyDescent="0.2">
      <c r="A576" s="24"/>
      <c r="B576" s="24"/>
      <c r="C576" s="24"/>
      <c r="D576" s="24"/>
      <c r="E576" s="24"/>
      <c r="F576" s="24"/>
      <c r="G576" s="24"/>
      <c r="H576" s="24"/>
      <c r="I576" s="24"/>
      <c r="J576" s="5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2.75" x14ac:dyDescent="0.2">
      <c r="A577" s="24"/>
      <c r="B577" s="24"/>
      <c r="C577" s="24"/>
      <c r="D577" s="24"/>
      <c r="E577" s="24"/>
      <c r="F577" s="24"/>
      <c r="G577" s="24"/>
      <c r="H577" s="24"/>
      <c r="I577" s="24"/>
      <c r="J577" s="5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2.75" x14ac:dyDescent="0.2">
      <c r="A578" s="24"/>
      <c r="B578" s="24"/>
      <c r="C578" s="24"/>
      <c r="D578" s="24"/>
      <c r="E578" s="24"/>
      <c r="F578" s="24"/>
      <c r="G578" s="24"/>
      <c r="H578" s="24"/>
      <c r="I578" s="24"/>
      <c r="J578" s="5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2.75" x14ac:dyDescent="0.2">
      <c r="A579" s="24"/>
      <c r="B579" s="24"/>
      <c r="C579" s="24"/>
      <c r="D579" s="24"/>
      <c r="E579" s="24"/>
      <c r="F579" s="24"/>
      <c r="G579" s="24"/>
      <c r="H579" s="24"/>
      <c r="I579" s="24"/>
      <c r="J579" s="5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2.75" x14ac:dyDescent="0.2">
      <c r="A580" s="24"/>
      <c r="B580" s="24"/>
      <c r="C580" s="24"/>
      <c r="D580" s="24"/>
      <c r="E580" s="24"/>
      <c r="F580" s="24"/>
      <c r="G580" s="24"/>
      <c r="H580" s="24"/>
      <c r="I580" s="24"/>
      <c r="J580" s="5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2.75" x14ac:dyDescent="0.2">
      <c r="A581" s="24"/>
      <c r="B581" s="24"/>
      <c r="C581" s="24"/>
      <c r="D581" s="24"/>
      <c r="E581" s="24"/>
      <c r="F581" s="24"/>
      <c r="G581" s="24"/>
      <c r="H581" s="24"/>
      <c r="I581" s="24"/>
      <c r="J581" s="5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2.75" x14ac:dyDescent="0.2">
      <c r="A582" s="24"/>
      <c r="B582" s="24"/>
      <c r="C582" s="24"/>
      <c r="D582" s="24"/>
      <c r="E582" s="24"/>
      <c r="F582" s="24"/>
      <c r="G582" s="24"/>
      <c r="H582" s="24"/>
      <c r="I582" s="24"/>
      <c r="J582" s="5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2.75" x14ac:dyDescent="0.2">
      <c r="A583" s="24"/>
      <c r="B583" s="24"/>
      <c r="C583" s="24"/>
      <c r="D583" s="24"/>
      <c r="E583" s="24"/>
      <c r="F583" s="24"/>
      <c r="G583" s="24"/>
      <c r="H583" s="24"/>
      <c r="I583" s="24"/>
      <c r="J583" s="5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2.75" x14ac:dyDescent="0.2">
      <c r="A584" s="24"/>
      <c r="B584" s="24"/>
      <c r="C584" s="24"/>
      <c r="D584" s="24"/>
      <c r="E584" s="24"/>
      <c r="F584" s="24"/>
      <c r="G584" s="24"/>
      <c r="H584" s="24"/>
      <c r="I584" s="24"/>
      <c r="J584" s="5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2.75" x14ac:dyDescent="0.2">
      <c r="A585" s="24"/>
      <c r="B585" s="24"/>
      <c r="C585" s="24"/>
      <c r="D585" s="24"/>
      <c r="E585" s="24"/>
      <c r="F585" s="24"/>
      <c r="G585" s="24"/>
      <c r="H585" s="24"/>
      <c r="I585" s="24"/>
      <c r="J585" s="5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2.75" x14ac:dyDescent="0.2">
      <c r="A586" s="24"/>
      <c r="B586" s="24"/>
      <c r="C586" s="24"/>
      <c r="D586" s="24"/>
      <c r="E586" s="24"/>
      <c r="F586" s="24"/>
      <c r="G586" s="24"/>
      <c r="H586" s="24"/>
      <c r="I586" s="24"/>
      <c r="J586" s="5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2.75" x14ac:dyDescent="0.2">
      <c r="A587" s="24"/>
      <c r="B587" s="24"/>
      <c r="C587" s="24"/>
      <c r="D587" s="24"/>
      <c r="E587" s="24"/>
      <c r="F587" s="24"/>
      <c r="G587" s="24"/>
      <c r="H587" s="24"/>
      <c r="I587" s="24"/>
      <c r="J587" s="5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2.75" x14ac:dyDescent="0.2">
      <c r="A588" s="24"/>
      <c r="B588" s="24"/>
      <c r="C588" s="24"/>
      <c r="D588" s="24"/>
      <c r="E588" s="24"/>
      <c r="F588" s="24"/>
      <c r="G588" s="24"/>
      <c r="H588" s="24"/>
      <c r="I588" s="24"/>
      <c r="J588" s="5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2.75" x14ac:dyDescent="0.2">
      <c r="A589" s="24"/>
      <c r="B589" s="24"/>
      <c r="C589" s="24"/>
      <c r="D589" s="24"/>
      <c r="E589" s="24"/>
      <c r="F589" s="24"/>
      <c r="G589" s="24"/>
      <c r="H589" s="24"/>
      <c r="I589" s="24"/>
      <c r="J589" s="5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2.75" x14ac:dyDescent="0.2">
      <c r="A590" s="24"/>
      <c r="B590" s="24"/>
      <c r="C590" s="24"/>
      <c r="D590" s="24"/>
      <c r="E590" s="24"/>
      <c r="F590" s="24"/>
      <c r="G590" s="24"/>
      <c r="H590" s="24"/>
      <c r="I590" s="24"/>
      <c r="J590" s="5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2.75" x14ac:dyDescent="0.2">
      <c r="A591" s="24"/>
      <c r="B591" s="24"/>
      <c r="C591" s="24"/>
      <c r="D591" s="24"/>
      <c r="E591" s="24"/>
      <c r="F591" s="24"/>
      <c r="G591" s="24"/>
      <c r="H591" s="24"/>
      <c r="I591" s="24"/>
      <c r="J591" s="5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2.75" x14ac:dyDescent="0.2">
      <c r="A592" s="24"/>
      <c r="B592" s="24"/>
      <c r="C592" s="24"/>
      <c r="D592" s="24"/>
      <c r="E592" s="24"/>
      <c r="F592" s="24"/>
      <c r="G592" s="24"/>
      <c r="H592" s="24"/>
      <c r="I592" s="24"/>
      <c r="J592" s="5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2.75" x14ac:dyDescent="0.2">
      <c r="A593" s="24"/>
      <c r="B593" s="24"/>
      <c r="C593" s="24"/>
      <c r="D593" s="24"/>
      <c r="E593" s="24"/>
      <c r="F593" s="24"/>
      <c r="G593" s="24"/>
      <c r="H593" s="24"/>
      <c r="I593" s="24"/>
      <c r="J593" s="5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2.75" x14ac:dyDescent="0.2">
      <c r="A594" s="24"/>
      <c r="B594" s="24"/>
      <c r="C594" s="24"/>
      <c r="D594" s="24"/>
      <c r="E594" s="24"/>
      <c r="F594" s="24"/>
      <c r="G594" s="24"/>
      <c r="H594" s="24"/>
      <c r="I594" s="24"/>
      <c r="J594" s="5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2.75" x14ac:dyDescent="0.2">
      <c r="A595" s="24"/>
      <c r="B595" s="24"/>
      <c r="C595" s="24"/>
      <c r="D595" s="24"/>
      <c r="E595" s="24"/>
      <c r="F595" s="24"/>
      <c r="G595" s="24"/>
      <c r="H595" s="24"/>
      <c r="I595" s="24"/>
      <c r="J595" s="5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2.75" x14ac:dyDescent="0.2">
      <c r="A596" s="24"/>
      <c r="B596" s="24"/>
      <c r="C596" s="24"/>
      <c r="D596" s="24"/>
      <c r="E596" s="24"/>
      <c r="F596" s="24"/>
      <c r="G596" s="24"/>
      <c r="H596" s="24"/>
      <c r="I596" s="24"/>
      <c r="J596" s="5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2.75" x14ac:dyDescent="0.2">
      <c r="A597" s="24"/>
      <c r="B597" s="24"/>
      <c r="C597" s="24"/>
      <c r="D597" s="24"/>
      <c r="E597" s="24"/>
      <c r="F597" s="24"/>
      <c r="G597" s="24"/>
      <c r="H597" s="24"/>
      <c r="I597" s="24"/>
      <c r="J597" s="5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2.75" x14ac:dyDescent="0.2">
      <c r="A598" s="24"/>
      <c r="B598" s="24"/>
      <c r="C598" s="24"/>
      <c r="D598" s="24"/>
      <c r="E598" s="24"/>
      <c r="F598" s="24"/>
      <c r="G598" s="24"/>
      <c r="H598" s="24"/>
      <c r="I598" s="24"/>
      <c r="J598" s="5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2.75" x14ac:dyDescent="0.2">
      <c r="A599" s="24"/>
      <c r="B599" s="24"/>
      <c r="C599" s="24"/>
      <c r="D599" s="24"/>
      <c r="E599" s="24"/>
      <c r="F599" s="24"/>
      <c r="G599" s="24"/>
      <c r="H599" s="24"/>
      <c r="I599" s="24"/>
      <c r="J599" s="5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2.75" x14ac:dyDescent="0.2">
      <c r="A600" s="24"/>
      <c r="B600" s="24"/>
      <c r="C600" s="24"/>
      <c r="D600" s="24"/>
      <c r="E600" s="24"/>
      <c r="F600" s="24"/>
      <c r="G600" s="24"/>
      <c r="H600" s="24"/>
      <c r="I600" s="24"/>
      <c r="J600" s="5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2.75" x14ac:dyDescent="0.2">
      <c r="A601" s="24"/>
      <c r="B601" s="24"/>
      <c r="C601" s="24"/>
      <c r="D601" s="24"/>
      <c r="E601" s="24"/>
      <c r="F601" s="24"/>
      <c r="G601" s="24"/>
      <c r="H601" s="24"/>
      <c r="I601" s="24"/>
      <c r="J601" s="5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2.75" x14ac:dyDescent="0.2">
      <c r="A602" s="24"/>
      <c r="B602" s="24"/>
      <c r="C602" s="24"/>
      <c r="D602" s="24"/>
      <c r="E602" s="24"/>
      <c r="F602" s="24"/>
      <c r="G602" s="24"/>
      <c r="H602" s="24"/>
      <c r="I602" s="24"/>
      <c r="J602" s="5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2.75" x14ac:dyDescent="0.2">
      <c r="A603" s="24"/>
      <c r="B603" s="24"/>
      <c r="C603" s="24"/>
      <c r="D603" s="24"/>
      <c r="E603" s="24"/>
      <c r="F603" s="24"/>
      <c r="G603" s="24"/>
      <c r="H603" s="24"/>
      <c r="I603" s="24"/>
      <c r="J603" s="5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2.75" x14ac:dyDescent="0.2">
      <c r="A604" s="24"/>
      <c r="B604" s="24"/>
      <c r="C604" s="24"/>
      <c r="D604" s="24"/>
      <c r="E604" s="24"/>
      <c r="F604" s="24"/>
      <c r="G604" s="24"/>
      <c r="H604" s="24"/>
      <c r="I604" s="24"/>
      <c r="J604" s="5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2.75" x14ac:dyDescent="0.2">
      <c r="A605" s="24"/>
      <c r="B605" s="24"/>
      <c r="C605" s="24"/>
      <c r="D605" s="24"/>
      <c r="E605" s="24"/>
      <c r="F605" s="24"/>
      <c r="G605" s="24"/>
      <c r="H605" s="24"/>
      <c r="I605" s="24"/>
      <c r="J605" s="5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2.75" x14ac:dyDescent="0.2">
      <c r="A606" s="24"/>
      <c r="B606" s="24"/>
      <c r="C606" s="24"/>
      <c r="D606" s="24"/>
      <c r="E606" s="24"/>
      <c r="F606" s="24"/>
      <c r="G606" s="24"/>
      <c r="H606" s="24"/>
      <c r="I606" s="24"/>
      <c r="J606" s="5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2.75" x14ac:dyDescent="0.2">
      <c r="A607" s="24"/>
      <c r="B607" s="24"/>
      <c r="C607" s="24"/>
      <c r="D607" s="24"/>
      <c r="E607" s="24"/>
      <c r="F607" s="24"/>
      <c r="G607" s="24"/>
      <c r="H607" s="24"/>
      <c r="I607" s="24"/>
      <c r="J607" s="5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2.75" x14ac:dyDescent="0.2">
      <c r="A608" s="24"/>
      <c r="B608" s="24"/>
      <c r="C608" s="24"/>
      <c r="D608" s="24"/>
      <c r="E608" s="24"/>
      <c r="F608" s="24"/>
      <c r="G608" s="24"/>
      <c r="H608" s="24"/>
      <c r="I608" s="24"/>
      <c r="J608" s="5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2.75" x14ac:dyDescent="0.2">
      <c r="A609" s="24"/>
      <c r="B609" s="24"/>
      <c r="C609" s="24"/>
      <c r="D609" s="24"/>
      <c r="E609" s="24"/>
      <c r="F609" s="24"/>
      <c r="G609" s="24"/>
      <c r="H609" s="24"/>
      <c r="I609" s="24"/>
      <c r="J609" s="5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2.75" x14ac:dyDescent="0.2">
      <c r="A610" s="24"/>
      <c r="B610" s="24"/>
      <c r="C610" s="24"/>
      <c r="D610" s="24"/>
      <c r="E610" s="24"/>
      <c r="F610" s="24"/>
      <c r="G610" s="24"/>
      <c r="H610" s="24"/>
      <c r="I610" s="24"/>
      <c r="J610" s="5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2.75" x14ac:dyDescent="0.2">
      <c r="A611" s="24"/>
      <c r="B611" s="24"/>
      <c r="C611" s="24"/>
      <c r="D611" s="24"/>
      <c r="E611" s="24"/>
      <c r="F611" s="24"/>
      <c r="G611" s="24"/>
      <c r="H611" s="24"/>
      <c r="I611" s="24"/>
      <c r="J611" s="5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2.75" x14ac:dyDescent="0.2">
      <c r="A612" s="24"/>
      <c r="B612" s="24"/>
      <c r="C612" s="24"/>
      <c r="D612" s="24"/>
      <c r="E612" s="24"/>
      <c r="F612" s="24"/>
      <c r="G612" s="24"/>
      <c r="H612" s="24"/>
      <c r="I612" s="24"/>
      <c r="J612" s="5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2.75" x14ac:dyDescent="0.2">
      <c r="A613" s="24"/>
      <c r="B613" s="24"/>
      <c r="C613" s="24"/>
      <c r="D613" s="24"/>
      <c r="E613" s="24"/>
      <c r="F613" s="24"/>
      <c r="G613" s="24"/>
      <c r="H613" s="24"/>
      <c r="I613" s="24"/>
      <c r="J613" s="5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2.75" x14ac:dyDescent="0.2">
      <c r="A614" s="24"/>
      <c r="B614" s="24"/>
      <c r="C614" s="24"/>
      <c r="D614" s="24"/>
      <c r="E614" s="24"/>
      <c r="F614" s="24"/>
      <c r="G614" s="24"/>
      <c r="H614" s="24"/>
      <c r="I614" s="24"/>
      <c r="J614" s="5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2.75" x14ac:dyDescent="0.2">
      <c r="A615" s="24"/>
      <c r="B615" s="24"/>
      <c r="C615" s="24"/>
      <c r="D615" s="24"/>
      <c r="E615" s="24"/>
      <c r="F615" s="24"/>
      <c r="G615" s="24"/>
      <c r="H615" s="24"/>
      <c r="I615" s="24"/>
      <c r="J615" s="5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2.75" x14ac:dyDescent="0.2">
      <c r="A616" s="24"/>
      <c r="B616" s="24"/>
      <c r="C616" s="24"/>
      <c r="D616" s="24"/>
      <c r="E616" s="24"/>
      <c r="F616" s="24"/>
      <c r="G616" s="24"/>
      <c r="H616" s="24"/>
      <c r="I616" s="24"/>
      <c r="J616" s="5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2.75" x14ac:dyDescent="0.2">
      <c r="A617" s="24"/>
      <c r="B617" s="24"/>
      <c r="C617" s="24"/>
      <c r="D617" s="24"/>
      <c r="E617" s="24"/>
      <c r="F617" s="24"/>
      <c r="G617" s="24"/>
      <c r="H617" s="24"/>
      <c r="I617" s="24"/>
      <c r="J617" s="5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2.75" x14ac:dyDescent="0.2">
      <c r="A618" s="24"/>
      <c r="B618" s="24"/>
      <c r="C618" s="24"/>
      <c r="D618" s="24"/>
      <c r="E618" s="24"/>
      <c r="F618" s="24"/>
      <c r="G618" s="24"/>
      <c r="H618" s="24"/>
      <c r="I618" s="24"/>
      <c r="J618" s="5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2.75" x14ac:dyDescent="0.2">
      <c r="A619" s="24"/>
      <c r="B619" s="24"/>
      <c r="C619" s="24"/>
      <c r="D619" s="24"/>
      <c r="E619" s="24"/>
      <c r="F619" s="24"/>
      <c r="G619" s="24"/>
      <c r="H619" s="24"/>
      <c r="I619" s="24"/>
      <c r="J619" s="5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2.75" x14ac:dyDescent="0.2">
      <c r="A620" s="24"/>
      <c r="B620" s="24"/>
      <c r="C620" s="24"/>
      <c r="D620" s="24"/>
      <c r="E620" s="24"/>
      <c r="F620" s="24"/>
      <c r="G620" s="24"/>
      <c r="H620" s="24"/>
      <c r="I620" s="24"/>
      <c r="J620" s="5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2.75" x14ac:dyDescent="0.2">
      <c r="A621" s="24"/>
      <c r="B621" s="24"/>
      <c r="C621" s="24"/>
      <c r="D621" s="24"/>
      <c r="E621" s="24"/>
      <c r="F621" s="24"/>
      <c r="G621" s="24"/>
      <c r="H621" s="24"/>
      <c r="I621" s="24"/>
      <c r="J621" s="5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2.75" x14ac:dyDescent="0.2">
      <c r="A622" s="24"/>
      <c r="B622" s="24"/>
      <c r="C622" s="24"/>
      <c r="D622" s="24"/>
      <c r="E622" s="24"/>
      <c r="F622" s="24"/>
      <c r="G622" s="24"/>
      <c r="H622" s="24"/>
      <c r="I622" s="24"/>
      <c r="J622" s="5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2.75" x14ac:dyDescent="0.2">
      <c r="A623" s="24"/>
      <c r="B623" s="24"/>
      <c r="C623" s="24"/>
      <c r="D623" s="24"/>
      <c r="E623" s="24"/>
      <c r="F623" s="24"/>
      <c r="G623" s="24"/>
      <c r="H623" s="24"/>
      <c r="I623" s="24"/>
      <c r="J623" s="5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2.75" x14ac:dyDescent="0.2">
      <c r="A624" s="24"/>
      <c r="B624" s="24"/>
      <c r="C624" s="24"/>
      <c r="D624" s="24"/>
      <c r="E624" s="24"/>
      <c r="F624" s="24"/>
      <c r="G624" s="24"/>
      <c r="H624" s="24"/>
      <c r="I624" s="24"/>
      <c r="J624" s="5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2.75" x14ac:dyDescent="0.2">
      <c r="A625" s="24"/>
      <c r="B625" s="24"/>
      <c r="C625" s="24"/>
      <c r="D625" s="24"/>
      <c r="E625" s="24"/>
      <c r="F625" s="24"/>
      <c r="G625" s="24"/>
      <c r="H625" s="24"/>
      <c r="I625" s="24"/>
      <c r="J625" s="5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2.75" x14ac:dyDescent="0.2">
      <c r="A626" s="24"/>
      <c r="B626" s="24"/>
      <c r="C626" s="24"/>
      <c r="D626" s="24"/>
      <c r="E626" s="24"/>
      <c r="F626" s="24"/>
      <c r="G626" s="24"/>
      <c r="H626" s="24"/>
      <c r="I626" s="24"/>
      <c r="J626" s="5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2.75" x14ac:dyDescent="0.2">
      <c r="A627" s="24"/>
      <c r="B627" s="24"/>
      <c r="C627" s="24"/>
      <c r="D627" s="24"/>
      <c r="E627" s="24"/>
      <c r="F627" s="24"/>
      <c r="G627" s="24"/>
      <c r="H627" s="24"/>
      <c r="I627" s="24"/>
      <c r="J627" s="5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2.75" x14ac:dyDescent="0.2">
      <c r="A628" s="24"/>
      <c r="B628" s="24"/>
      <c r="C628" s="24"/>
      <c r="D628" s="24"/>
      <c r="E628" s="24"/>
      <c r="F628" s="24"/>
      <c r="G628" s="24"/>
      <c r="H628" s="24"/>
      <c r="I628" s="24"/>
      <c r="J628" s="5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2.75" x14ac:dyDescent="0.2">
      <c r="A629" s="24"/>
      <c r="B629" s="24"/>
      <c r="C629" s="24"/>
      <c r="D629" s="24"/>
      <c r="E629" s="24"/>
      <c r="F629" s="24"/>
      <c r="G629" s="24"/>
      <c r="H629" s="24"/>
      <c r="I629" s="24"/>
      <c r="J629" s="5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2.75" x14ac:dyDescent="0.2">
      <c r="A630" s="24"/>
      <c r="B630" s="24"/>
      <c r="C630" s="24"/>
      <c r="D630" s="24"/>
      <c r="E630" s="24"/>
      <c r="F630" s="24"/>
      <c r="G630" s="24"/>
      <c r="H630" s="24"/>
      <c r="I630" s="24"/>
      <c r="J630" s="5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2.75" x14ac:dyDescent="0.2">
      <c r="A631" s="24"/>
      <c r="B631" s="24"/>
      <c r="C631" s="24"/>
      <c r="D631" s="24"/>
      <c r="E631" s="24"/>
      <c r="F631" s="24"/>
      <c r="G631" s="24"/>
      <c r="H631" s="24"/>
      <c r="I631" s="24"/>
      <c r="J631" s="5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2.75" x14ac:dyDescent="0.2">
      <c r="A632" s="24"/>
      <c r="B632" s="24"/>
      <c r="C632" s="24"/>
      <c r="D632" s="24"/>
      <c r="E632" s="24"/>
      <c r="F632" s="24"/>
      <c r="G632" s="24"/>
      <c r="H632" s="24"/>
      <c r="I632" s="24"/>
      <c r="J632" s="5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2.75" x14ac:dyDescent="0.2">
      <c r="A633" s="24"/>
      <c r="B633" s="24"/>
      <c r="C633" s="24"/>
      <c r="D633" s="24"/>
      <c r="E633" s="24"/>
      <c r="F633" s="24"/>
      <c r="G633" s="24"/>
      <c r="H633" s="24"/>
      <c r="I633" s="24"/>
      <c r="J633" s="5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2.75" x14ac:dyDescent="0.2">
      <c r="A634" s="24"/>
      <c r="B634" s="24"/>
      <c r="C634" s="24"/>
      <c r="D634" s="24"/>
      <c r="E634" s="24"/>
      <c r="F634" s="24"/>
      <c r="G634" s="24"/>
      <c r="H634" s="24"/>
      <c r="I634" s="24"/>
      <c r="J634" s="5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2.75" x14ac:dyDescent="0.2">
      <c r="A635" s="24"/>
      <c r="B635" s="24"/>
      <c r="C635" s="24"/>
      <c r="D635" s="24"/>
      <c r="E635" s="24"/>
      <c r="F635" s="24"/>
      <c r="G635" s="24"/>
      <c r="H635" s="24"/>
      <c r="I635" s="24"/>
      <c r="J635" s="5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2.75" x14ac:dyDescent="0.2">
      <c r="A636" s="24"/>
      <c r="B636" s="24"/>
      <c r="C636" s="24"/>
      <c r="D636" s="24"/>
      <c r="E636" s="24"/>
      <c r="F636" s="24"/>
      <c r="G636" s="24"/>
      <c r="H636" s="24"/>
      <c r="I636" s="24"/>
      <c r="J636" s="5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2.75" x14ac:dyDescent="0.2">
      <c r="A637" s="24"/>
      <c r="B637" s="24"/>
      <c r="C637" s="24"/>
      <c r="D637" s="24"/>
      <c r="E637" s="24"/>
      <c r="F637" s="24"/>
      <c r="G637" s="24"/>
      <c r="H637" s="24"/>
      <c r="I637" s="24"/>
      <c r="J637" s="5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2.75" x14ac:dyDescent="0.2">
      <c r="A638" s="24"/>
      <c r="B638" s="24"/>
      <c r="C638" s="24"/>
      <c r="D638" s="24"/>
      <c r="E638" s="24"/>
      <c r="F638" s="24"/>
      <c r="G638" s="24"/>
      <c r="H638" s="24"/>
      <c r="I638" s="24"/>
      <c r="J638" s="5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2.75" x14ac:dyDescent="0.2">
      <c r="A639" s="24"/>
      <c r="B639" s="24"/>
      <c r="C639" s="24"/>
      <c r="D639" s="24"/>
      <c r="E639" s="24"/>
      <c r="F639" s="24"/>
      <c r="G639" s="24"/>
      <c r="H639" s="24"/>
      <c r="I639" s="24"/>
      <c r="J639" s="5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2.75" x14ac:dyDescent="0.2">
      <c r="A640" s="24"/>
      <c r="B640" s="24"/>
      <c r="C640" s="24"/>
      <c r="D640" s="24"/>
      <c r="E640" s="24"/>
      <c r="F640" s="24"/>
      <c r="G640" s="24"/>
      <c r="H640" s="24"/>
      <c r="I640" s="24"/>
      <c r="J640" s="5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2.75" x14ac:dyDescent="0.2">
      <c r="A641" s="24"/>
      <c r="B641" s="24"/>
      <c r="C641" s="24"/>
      <c r="D641" s="24"/>
      <c r="E641" s="24"/>
      <c r="F641" s="24"/>
      <c r="G641" s="24"/>
      <c r="H641" s="24"/>
      <c r="I641" s="24"/>
      <c r="J641" s="5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2.75" x14ac:dyDescent="0.2">
      <c r="A642" s="24"/>
      <c r="B642" s="24"/>
      <c r="C642" s="24"/>
      <c r="D642" s="24"/>
      <c r="E642" s="24"/>
      <c r="F642" s="24"/>
      <c r="G642" s="24"/>
      <c r="H642" s="24"/>
      <c r="I642" s="24"/>
      <c r="J642" s="5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2.75" x14ac:dyDescent="0.2">
      <c r="A643" s="24"/>
      <c r="B643" s="24"/>
      <c r="C643" s="24"/>
      <c r="D643" s="24"/>
      <c r="E643" s="24"/>
      <c r="F643" s="24"/>
      <c r="G643" s="24"/>
      <c r="H643" s="24"/>
      <c r="I643" s="24"/>
      <c r="J643" s="5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2.75" x14ac:dyDescent="0.2">
      <c r="A644" s="24"/>
      <c r="B644" s="24"/>
      <c r="C644" s="24"/>
      <c r="D644" s="24"/>
      <c r="E644" s="24"/>
      <c r="F644" s="24"/>
      <c r="G644" s="24"/>
      <c r="H644" s="24"/>
      <c r="I644" s="24"/>
      <c r="J644" s="5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2.75" x14ac:dyDescent="0.2">
      <c r="A645" s="24"/>
      <c r="B645" s="24"/>
      <c r="C645" s="24"/>
      <c r="D645" s="24"/>
      <c r="E645" s="24"/>
      <c r="F645" s="24"/>
      <c r="G645" s="24"/>
      <c r="H645" s="24"/>
      <c r="I645" s="24"/>
      <c r="J645" s="5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2.75" x14ac:dyDescent="0.2">
      <c r="A646" s="24"/>
      <c r="B646" s="24"/>
      <c r="C646" s="24"/>
      <c r="D646" s="24"/>
      <c r="E646" s="24"/>
      <c r="F646" s="24"/>
      <c r="G646" s="24"/>
      <c r="H646" s="24"/>
      <c r="I646" s="24"/>
      <c r="J646" s="5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2.75" x14ac:dyDescent="0.2">
      <c r="A647" s="24"/>
      <c r="B647" s="24"/>
      <c r="C647" s="24"/>
      <c r="D647" s="24"/>
      <c r="E647" s="24"/>
      <c r="F647" s="24"/>
      <c r="G647" s="24"/>
      <c r="H647" s="24"/>
      <c r="I647" s="24"/>
      <c r="J647" s="5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2.75" x14ac:dyDescent="0.2">
      <c r="A648" s="24"/>
      <c r="B648" s="24"/>
      <c r="C648" s="24"/>
      <c r="D648" s="24"/>
      <c r="E648" s="24"/>
      <c r="F648" s="24"/>
      <c r="G648" s="24"/>
      <c r="H648" s="24"/>
      <c r="I648" s="24"/>
      <c r="J648" s="5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2.75" x14ac:dyDescent="0.2">
      <c r="A649" s="24"/>
      <c r="B649" s="24"/>
      <c r="C649" s="24"/>
      <c r="D649" s="24"/>
      <c r="E649" s="24"/>
      <c r="F649" s="24"/>
      <c r="G649" s="24"/>
      <c r="H649" s="24"/>
      <c r="I649" s="24"/>
      <c r="J649" s="5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2.75" x14ac:dyDescent="0.2">
      <c r="A650" s="24"/>
      <c r="B650" s="24"/>
      <c r="C650" s="24"/>
      <c r="D650" s="24"/>
      <c r="E650" s="24"/>
      <c r="F650" s="24"/>
      <c r="G650" s="24"/>
      <c r="H650" s="24"/>
      <c r="I650" s="24"/>
      <c r="J650" s="5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2.75" x14ac:dyDescent="0.2">
      <c r="A651" s="24"/>
      <c r="B651" s="24"/>
      <c r="C651" s="24"/>
      <c r="D651" s="24"/>
      <c r="E651" s="24"/>
      <c r="F651" s="24"/>
      <c r="G651" s="24"/>
      <c r="H651" s="24"/>
      <c r="I651" s="24"/>
      <c r="J651" s="5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2.75" x14ac:dyDescent="0.2">
      <c r="A652" s="24"/>
      <c r="B652" s="24"/>
      <c r="C652" s="24"/>
      <c r="D652" s="24"/>
      <c r="E652" s="24"/>
      <c r="F652" s="24"/>
      <c r="G652" s="24"/>
      <c r="H652" s="24"/>
      <c r="I652" s="24"/>
      <c r="J652" s="5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2.75" x14ac:dyDescent="0.2">
      <c r="A653" s="24"/>
      <c r="B653" s="24"/>
      <c r="C653" s="24"/>
      <c r="D653" s="24"/>
      <c r="E653" s="24"/>
      <c r="F653" s="24"/>
      <c r="G653" s="24"/>
      <c r="H653" s="24"/>
      <c r="I653" s="24"/>
      <c r="J653" s="5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2.75" x14ac:dyDescent="0.2">
      <c r="A654" s="24"/>
      <c r="B654" s="24"/>
      <c r="C654" s="24"/>
      <c r="D654" s="24"/>
      <c r="E654" s="24"/>
      <c r="F654" s="24"/>
      <c r="G654" s="24"/>
      <c r="H654" s="24"/>
      <c r="I654" s="24"/>
      <c r="J654" s="5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2.75" x14ac:dyDescent="0.2">
      <c r="A655" s="24"/>
      <c r="B655" s="24"/>
      <c r="C655" s="24"/>
      <c r="D655" s="24"/>
      <c r="E655" s="24"/>
      <c r="F655" s="24"/>
      <c r="G655" s="24"/>
      <c r="H655" s="24"/>
      <c r="I655" s="24"/>
      <c r="J655" s="5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2.75" x14ac:dyDescent="0.2">
      <c r="A656" s="24"/>
      <c r="B656" s="24"/>
      <c r="C656" s="24"/>
      <c r="D656" s="24"/>
      <c r="E656" s="24"/>
      <c r="F656" s="24"/>
      <c r="G656" s="24"/>
      <c r="H656" s="24"/>
      <c r="I656" s="24"/>
      <c r="J656" s="5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2.75" x14ac:dyDescent="0.2">
      <c r="A657" s="24"/>
      <c r="B657" s="24"/>
      <c r="C657" s="24"/>
      <c r="D657" s="24"/>
      <c r="E657" s="24"/>
      <c r="F657" s="24"/>
      <c r="G657" s="24"/>
      <c r="H657" s="24"/>
      <c r="I657" s="24"/>
      <c r="J657" s="5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2.75" x14ac:dyDescent="0.2">
      <c r="A658" s="24"/>
      <c r="B658" s="24"/>
      <c r="C658" s="24"/>
      <c r="D658" s="24"/>
      <c r="E658" s="24"/>
      <c r="F658" s="24"/>
      <c r="G658" s="24"/>
      <c r="H658" s="24"/>
      <c r="I658" s="24"/>
      <c r="J658" s="5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2.75" x14ac:dyDescent="0.2">
      <c r="A659" s="24"/>
      <c r="B659" s="24"/>
      <c r="C659" s="24"/>
      <c r="D659" s="24"/>
      <c r="E659" s="24"/>
      <c r="F659" s="24"/>
      <c r="G659" s="24"/>
      <c r="H659" s="24"/>
      <c r="I659" s="24"/>
      <c r="J659" s="5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2.75" x14ac:dyDescent="0.2">
      <c r="A660" s="24"/>
      <c r="B660" s="24"/>
      <c r="C660" s="24"/>
      <c r="D660" s="24"/>
      <c r="E660" s="24"/>
      <c r="F660" s="24"/>
      <c r="G660" s="24"/>
      <c r="H660" s="24"/>
      <c r="I660" s="24"/>
      <c r="J660" s="5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2.75" x14ac:dyDescent="0.2">
      <c r="A661" s="24"/>
      <c r="B661" s="24"/>
      <c r="C661" s="24"/>
      <c r="D661" s="24"/>
      <c r="E661" s="24"/>
      <c r="F661" s="24"/>
      <c r="G661" s="24"/>
      <c r="H661" s="24"/>
      <c r="I661" s="24"/>
      <c r="J661" s="5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2.75" x14ac:dyDescent="0.2">
      <c r="A662" s="24"/>
      <c r="B662" s="24"/>
      <c r="C662" s="24"/>
      <c r="D662" s="24"/>
      <c r="E662" s="24"/>
      <c r="F662" s="24"/>
      <c r="G662" s="24"/>
      <c r="H662" s="24"/>
      <c r="I662" s="24"/>
      <c r="J662" s="5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2.75" x14ac:dyDescent="0.2">
      <c r="A663" s="24"/>
      <c r="B663" s="24"/>
      <c r="C663" s="24"/>
      <c r="D663" s="24"/>
      <c r="E663" s="24"/>
      <c r="F663" s="24"/>
      <c r="G663" s="24"/>
      <c r="H663" s="24"/>
      <c r="I663" s="24"/>
      <c r="J663" s="5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2.75" x14ac:dyDescent="0.2">
      <c r="A664" s="24"/>
      <c r="B664" s="24"/>
      <c r="C664" s="24"/>
      <c r="D664" s="24"/>
      <c r="E664" s="24"/>
      <c r="F664" s="24"/>
      <c r="G664" s="24"/>
      <c r="H664" s="24"/>
      <c r="I664" s="24"/>
      <c r="J664" s="5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2.75" x14ac:dyDescent="0.2">
      <c r="A665" s="24"/>
      <c r="B665" s="24"/>
      <c r="C665" s="24"/>
      <c r="D665" s="24"/>
      <c r="E665" s="24"/>
      <c r="F665" s="24"/>
      <c r="G665" s="24"/>
      <c r="H665" s="24"/>
      <c r="I665" s="24"/>
      <c r="J665" s="5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2.75" x14ac:dyDescent="0.2">
      <c r="A666" s="24"/>
      <c r="B666" s="24"/>
      <c r="C666" s="24"/>
      <c r="D666" s="24"/>
      <c r="E666" s="24"/>
      <c r="F666" s="24"/>
      <c r="G666" s="24"/>
      <c r="H666" s="24"/>
      <c r="I666" s="24"/>
      <c r="J666" s="5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2.75" x14ac:dyDescent="0.2">
      <c r="A667" s="24"/>
      <c r="B667" s="24"/>
      <c r="C667" s="24"/>
      <c r="D667" s="24"/>
      <c r="E667" s="24"/>
      <c r="F667" s="24"/>
      <c r="G667" s="24"/>
      <c r="H667" s="24"/>
      <c r="I667" s="24"/>
      <c r="J667" s="5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2.75" x14ac:dyDescent="0.2">
      <c r="A668" s="24"/>
      <c r="B668" s="24"/>
      <c r="C668" s="24"/>
      <c r="D668" s="24"/>
      <c r="E668" s="24"/>
      <c r="F668" s="24"/>
      <c r="G668" s="24"/>
      <c r="H668" s="24"/>
      <c r="I668" s="24"/>
      <c r="J668" s="5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2.75" x14ac:dyDescent="0.2">
      <c r="A669" s="24"/>
      <c r="B669" s="24"/>
      <c r="C669" s="24"/>
      <c r="D669" s="24"/>
      <c r="E669" s="24"/>
      <c r="F669" s="24"/>
      <c r="G669" s="24"/>
      <c r="H669" s="24"/>
      <c r="I669" s="24"/>
      <c r="J669" s="5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2.75" x14ac:dyDescent="0.2">
      <c r="A670" s="24"/>
      <c r="B670" s="24"/>
      <c r="C670" s="24"/>
      <c r="D670" s="24"/>
      <c r="E670" s="24"/>
      <c r="F670" s="24"/>
      <c r="G670" s="24"/>
      <c r="H670" s="24"/>
      <c r="I670" s="24"/>
      <c r="J670" s="5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2.75" x14ac:dyDescent="0.2">
      <c r="A671" s="24"/>
      <c r="B671" s="24"/>
      <c r="C671" s="24"/>
      <c r="D671" s="24"/>
      <c r="E671" s="24"/>
      <c r="F671" s="24"/>
      <c r="G671" s="24"/>
      <c r="H671" s="24"/>
      <c r="I671" s="24"/>
      <c r="J671" s="5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2.75" x14ac:dyDescent="0.2">
      <c r="A672" s="24"/>
      <c r="B672" s="24"/>
      <c r="C672" s="24"/>
      <c r="D672" s="24"/>
      <c r="E672" s="24"/>
      <c r="F672" s="24"/>
      <c r="G672" s="24"/>
      <c r="H672" s="24"/>
      <c r="I672" s="24"/>
      <c r="J672" s="5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2.75" x14ac:dyDescent="0.2">
      <c r="A673" s="24"/>
      <c r="B673" s="24"/>
      <c r="C673" s="24"/>
      <c r="D673" s="24"/>
      <c r="E673" s="24"/>
      <c r="F673" s="24"/>
      <c r="G673" s="24"/>
      <c r="H673" s="24"/>
      <c r="I673" s="24"/>
      <c r="J673" s="5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2.75" x14ac:dyDescent="0.2">
      <c r="A674" s="24"/>
      <c r="B674" s="24"/>
      <c r="C674" s="24"/>
      <c r="D674" s="24"/>
      <c r="E674" s="24"/>
      <c r="F674" s="24"/>
      <c r="G674" s="24"/>
      <c r="H674" s="24"/>
      <c r="I674" s="24"/>
      <c r="J674" s="5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2.75" x14ac:dyDescent="0.2">
      <c r="A675" s="24"/>
      <c r="B675" s="24"/>
      <c r="C675" s="24"/>
      <c r="D675" s="24"/>
      <c r="E675" s="24"/>
      <c r="F675" s="24"/>
      <c r="G675" s="24"/>
      <c r="H675" s="24"/>
      <c r="I675" s="24"/>
      <c r="J675" s="5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2.75" x14ac:dyDescent="0.2">
      <c r="A676" s="24"/>
      <c r="B676" s="24"/>
      <c r="C676" s="24"/>
      <c r="D676" s="24"/>
      <c r="E676" s="24"/>
      <c r="F676" s="24"/>
      <c r="G676" s="24"/>
      <c r="H676" s="24"/>
      <c r="I676" s="24"/>
      <c r="J676" s="5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2.75" x14ac:dyDescent="0.2">
      <c r="A677" s="24"/>
      <c r="B677" s="24"/>
      <c r="C677" s="24"/>
      <c r="D677" s="24"/>
      <c r="E677" s="24"/>
      <c r="F677" s="24"/>
      <c r="G677" s="24"/>
      <c r="H677" s="24"/>
      <c r="I677" s="24"/>
      <c r="J677" s="5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2.75" x14ac:dyDescent="0.2">
      <c r="A678" s="24"/>
      <c r="B678" s="24"/>
      <c r="C678" s="24"/>
      <c r="D678" s="24"/>
      <c r="E678" s="24"/>
      <c r="F678" s="24"/>
      <c r="G678" s="24"/>
      <c r="H678" s="24"/>
      <c r="I678" s="24"/>
      <c r="J678" s="5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2.75" x14ac:dyDescent="0.2">
      <c r="A679" s="24"/>
      <c r="B679" s="24"/>
      <c r="C679" s="24"/>
      <c r="D679" s="24"/>
      <c r="E679" s="24"/>
      <c r="F679" s="24"/>
      <c r="G679" s="24"/>
      <c r="H679" s="24"/>
      <c r="I679" s="24"/>
      <c r="J679" s="5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2.75" x14ac:dyDescent="0.2">
      <c r="A680" s="24"/>
      <c r="B680" s="24"/>
      <c r="C680" s="24"/>
      <c r="D680" s="24"/>
      <c r="E680" s="24"/>
      <c r="F680" s="24"/>
      <c r="G680" s="24"/>
      <c r="H680" s="24"/>
      <c r="I680" s="24"/>
      <c r="J680" s="5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2.75" x14ac:dyDescent="0.2">
      <c r="A681" s="24"/>
      <c r="B681" s="24"/>
      <c r="C681" s="24"/>
      <c r="D681" s="24"/>
      <c r="E681" s="24"/>
      <c r="F681" s="24"/>
      <c r="G681" s="24"/>
      <c r="H681" s="24"/>
      <c r="I681" s="24"/>
      <c r="J681" s="5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2.75" x14ac:dyDescent="0.2">
      <c r="A682" s="24"/>
      <c r="B682" s="24"/>
      <c r="C682" s="24"/>
      <c r="D682" s="24"/>
      <c r="E682" s="24"/>
      <c r="F682" s="24"/>
      <c r="G682" s="24"/>
      <c r="H682" s="24"/>
      <c r="I682" s="24"/>
      <c r="J682" s="5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2.75" x14ac:dyDescent="0.2">
      <c r="A683" s="24"/>
      <c r="B683" s="24"/>
      <c r="C683" s="24"/>
      <c r="D683" s="24"/>
      <c r="E683" s="24"/>
      <c r="F683" s="24"/>
      <c r="G683" s="24"/>
      <c r="H683" s="24"/>
      <c r="I683" s="24"/>
      <c r="J683" s="5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2.75" x14ac:dyDescent="0.2">
      <c r="A684" s="24"/>
      <c r="B684" s="24"/>
      <c r="C684" s="24"/>
      <c r="D684" s="24"/>
      <c r="E684" s="24"/>
      <c r="F684" s="24"/>
      <c r="G684" s="24"/>
      <c r="H684" s="24"/>
      <c r="I684" s="24"/>
      <c r="J684" s="5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2.75" x14ac:dyDescent="0.2">
      <c r="A685" s="24"/>
      <c r="B685" s="24"/>
      <c r="C685" s="24"/>
      <c r="D685" s="24"/>
      <c r="E685" s="24"/>
      <c r="F685" s="24"/>
      <c r="G685" s="24"/>
      <c r="H685" s="24"/>
      <c r="I685" s="24"/>
      <c r="J685" s="5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2.75" x14ac:dyDescent="0.2">
      <c r="A686" s="24"/>
      <c r="B686" s="24"/>
      <c r="C686" s="24"/>
      <c r="D686" s="24"/>
      <c r="E686" s="24"/>
      <c r="F686" s="24"/>
      <c r="G686" s="24"/>
      <c r="H686" s="24"/>
      <c r="I686" s="24"/>
      <c r="J686" s="5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2.75" x14ac:dyDescent="0.2">
      <c r="A687" s="24"/>
      <c r="B687" s="24"/>
      <c r="C687" s="24"/>
      <c r="D687" s="24"/>
      <c r="E687" s="24"/>
      <c r="F687" s="24"/>
      <c r="G687" s="24"/>
      <c r="H687" s="24"/>
      <c r="I687" s="24"/>
      <c r="J687" s="5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2.75" x14ac:dyDescent="0.2">
      <c r="A688" s="24"/>
      <c r="B688" s="24"/>
      <c r="C688" s="24"/>
      <c r="D688" s="24"/>
      <c r="E688" s="24"/>
      <c r="F688" s="24"/>
      <c r="G688" s="24"/>
      <c r="H688" s="24"/>
      <c r="I688" s="24"/>
      <c r="J688" s="5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2.75" x14ac:dyDescent="0.2">
      <c r="A689" s="24"/>
      <c r="B689" s="24"/>
      <c r="C689" s="24"/>
      <c r="D689" s="24"/>
      <c r="E689" s="24"/>
      <c r="F689" s="24"/>
      <c r="G689" s="24"/>
      <c r="H689" s="24"/>
      <c r="I689" s="24"/>
      <c r="J689" s="5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2.75" x14ac:dyDescent="0.2">
      <c r="A690" s="24"/>
      <c r="B690" s="24"/>
      <c r="C690" s="24"/>
      <c r="D690" s="24"/>
      <c r="E690" s="24"/>
      <c r="F690" s="24"/>
      <c r="G690" s="24"/>
      <c r="H690" s="24"/>
      <c r="I690" s="24"/>
      <c r="J690" s="5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2.75" x14ac:dyDescent="0.2">
      <c r="A691" s="24"/>
      <c r="B691" s="24"/>
      <c r="C691" s="24"/>
      <c r="D691" s="24"/>
      <c r="E691" s="24"/>
      <c r="F691" s="24"/>
      <c r="G691" s="24"/>
      <c r="H691" s="24"/>
      <c r="I691" s="24"/>
      <c r="J691" s="5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2.75" x14ac:dyDescent="0.2">
      <c r="A692" s="24"/>
      <c r="B692" s="24"/>
      <c r="C692" s="24"/>
      <c r="D692" s="24"/>
      <c r="E692" s="24"/>
      <c r="F692" s="24"/>
      <c r="G692" s="24"/>
      <c r="H692" s="24"/>
      <c r="I692" s="24"/>
      <c r="J692" s="5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2.75" x14ac:dyDescent="0.2">
      <c r="A693" s="24"/>
      <c r="B693" s="24"/>
      <c r="C693" s="24"/>
      <c r="D693" s="24"/>
      <c r="E693" s="24"/>
      <c r="F693" s="24"/>
      <c r="G693" s="24"/>
      <c r="H693" s="24"/>
      <c r="I693" s="24"/>
      <c r="J693" s="5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2.75" x14ac:dyDescent="0.2">
      <c r="A694" s="24"/>
      <c r="B694" s="24"/>
      <c r="C694" s="24"/>
      <c r="D694" s="24"/>
      <c r="E694" s="24"/>
      <c r="F694" s="24"/>
      <c r="G694" s="24"/>
      <c r="H694" s="24"/>
      <c r="I694" s="24"/>
      <c r="J694" s="5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2.75" x14ac:dyDescent="0.2">
      <c r="A695" s="24"/>
      <c r="B695" s="24"/>
      <c r="C695" s="24"/>
      <c r="D695" s="24"/>
      <c r="E695" s="24"/>
      <c r="F695" s="24"/>
      <c r="G695" s="24"/>
      <c r="H695" s="24"/>
      <c r="I695" s="24"/>
      <c r="J695" s="5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2.75" x14ac:dyDescent="0.2">
      <c r="A696" s="24"/>
      <c r="B696" s="24"/>
      <c r="C696" s="24"/>
      <c r="D696" s="24"/>
      <c r="E696" s="24"/>
      <c r="F696" s="24"/>
      <c r="G696" s="24"/>
      <c r="H696" s="24"/>
      <c r="I696" s="24"/>
      <c r="J696" s="5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2.75" x14ac:dyDescent="0.2">
      <c r="A697" s="24"/>
      <c r="B697" s="24"/>
      <c r="C697" s="24"/>
      <c r="D697" s="24"/>
      <c r="E697" s="24"/>
      <c r="F697" s="24"/>
      <c r="G697" s="24"/>
      <c r="H697" s="24"/>
      <c r="I697" s="24"/>
      <c r="J697" s="5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2.75" x14ac:dyDescent="0.2">
      <c r="A698" s="24"/>
      <c r="B698" s="24"/>
      <c r="C698" s="24"/>
      <c r="D698" s="24"/>
      <c r="E698" s="24"/>
      <c r="F698" s="24"/>
      <c r="G698" s="24"/>
      <c r="H698" s="24"/>
      <c r="I698" s="24"/>
      <c r="J698" s="5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2.75" x14ac:dyDescent="0.2">
      <c r="A699" s="24"/>
      <c r="B699" s="24"/>
      <c r="C699" s="24"/>
      <c r="D699" s="24"/>
      <c r="E699" s="24"/>
      <c r="F699" s="24"/>
      <c r="G699" s="24"/>
      <c r="H699" s="24"/>
      <c r="I699" s="24"/>
      <c r="J699" s="5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2.75" x14ac:dyDescent="0.2">
      <c r="A700" s="24"/>
      <c r="B700" s="24"/>
      <c r="C700" s="24"/>
      <c r="D700" s="24"/>
      <c r="E700" s="24"/>
      <c r="F700" s="24"/>
      <c r="G700" s="24"/>
      <c r="H700" s="24"/>
      <c r="I700" s="24"/>
      <c r="J700" s="5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2.75" x14ac:dyDescent="0.2">
      <c r="A701" s="24"/>
      <c r="B701" s="24"/>
      <c r="C701" s="24"/>
      <c r="D701" s="24"/>
      <c r="E701" s="24"/>
      <c r="F701" s="24"/>
      <c r="G701" s="24"/>
      <c r="H701" s="24"/>
      <c r="I701" s="24"/>
      <c r="J701" s="5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2.75" x14ac:dyDescent="0.2">
      <c r="A702" s="24"/>
      <c r="B702" s="24"/>
      <c r="C702" s="24"/>
      <c r="D702" s="24"/>
      <c r="E702" s="24"/>
      <c r="F702" s="24"/>
      <c r="G702" s="24"/>
      <c r="H702" s="24"/>
      <c r="I702" s="24"/>
      <c r="J702" s="5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2.75" x14ac:dyDescent="0.2">
      <c r="A703" s="24"/>
      <c r="B703" s="24"/>
      <c r="C703" s="24"/>
      <c r="D703" s="24"/>
      <c r="E703" s="24"/>
      <c r="F703" s="24"/>
      <c r="G703" s="24"/>
      <c r="H703" s="24"/>
      <c r="I703" s="24"/>
      <c r="J703" s="5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2.75" x14ac:dyDescent="0.2">
      <c r="A704" s="24"/>
      <c r="B704" s="24"/>
      <c r="C704" s="24"/>
      <c r="D704" s="24"/>
      <c r="E704" s="24"/>
      <c r="F704" s="24"/>
      <c r="G704" s="24"/>
      <c r="H704" s="24"/>
      <c r="I704" s="24"/>
      <c r="J704" s="5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2.75" x14ac:dyDescent="0.2">
      <c r="A705" s="24"/>
      <c r="B705" s="24"/>
      <c r="C705" s="24"/>
      <c r="D705" s="24"/>
      <c r="E705" s="24"/>
      <c r="F705" s="24"/>
      <c r="G705" s="24"/>
      <c r="H705" s="24"/>
      <c r="I705" s="24"/>
      <c r="J705" s="5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2.75" x14ac:dyDescent="0.2">
      <c r="A706" s="24"/>
      <c r="B706" s="24"/>
      <c r="C706" s="24"/>
      <c r="D706" s="24"/>
      <c r="E706" s="24"/>
      <c r="F706" s="24"/>
      <c r="G706" s="24"/>
      <c r="H706" s="24"/>
      <c r="I706" s="24"/>
      <c r="J706" s="5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2.75" x14ac:dyDescent="0.2">
      <c r="A707" s="24"/>
      <c r="B707" s="24"/>
      <c r="C707" s="24"/>
      <c r="D707" s="24"/>
      <c r="E707" s="24"/>
      <c r="F707" s="24"/>
      <c r="G707" s="24"/>
      <c r="H707" s="24"/>
      <c r="I707" s="24"/>
      <c r="J707" s="5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2.75" x14ac:dyDescent="0.2">
      <c r="A708" s="24"/>
      <c r="B708" s="24"/>
      <c r="C708" s="24"/>
      <c r="D708" s="24"/>
      <c r="E708" s="24"/>
      <c r="F708" s="24"/>
      <c r="G708" s="24"/>
      <c r="H708" s="24"/>
      <c r="I708" s="24"/>
      <c r="J708" s="5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2.75" x14ac:dyDescent="0.2">
      <c r="A709" s="24"/>
      <c r="B709" s="24"/>
      <c r="C709" s="24"/>
      <c r="D709" s="24"/>
      <c r="E709" s="24"/>
      <c r="F709" s="24"/>
      <c r="G709" s="24"/>
      <c r="H709" s="24"/>
      <c r="I709" s="24"/>
      <c r="J709" s="5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2.75" x14ac:dyDescent="0.2">
      <c r="A710" s="24"/>
      <c r="B710" s="24"/>
      <c r="C710" s="24"/>
      <c r="D710" s="24"/>
      <c r="E710" s="24"/>
      <c r="F710" s="24"/>
      <c r="G710" s="24"/>
      <c r="H710" s="24"/>
      <c r="I710" s="24"/>
      <c r="J710" s="5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2.75" x14ac:dyDescent="0.2">
      <c r="A711" s="24"/>
      <c r="B711" s="24"/>
      <c r="C711" s="24"/>
      <c r="D711" s="24"/>
      <c r="E711" s="24"/>
      <c r="F711" s="24"/>
      <c r="G711" s="24"/>
      <c r="H711" s="24"/>
      <c r="I711" s="24"/>
      <c r="J711" s="5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2.75" x14ac:dyDescent="0.2">
      <c r="A712" s="24"/>
      <c r="B712" s="24"/>
      <c r="C712" s="24"/>
      <c r="D712" s="24"/>
      <c r="E712" s="24"/>
      <c r="F712" s="24"/>
      <c r="G712" s="24"/>
      <c r="H712" s="24"/>
      <c r="I712" s="24"/>
      <c r="J712" s="5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2.75" x14ac:dyDescent="0.2">
      <c r="A713" s="24"/>
      <c r="B713" s="24"/>
      <c r="C713" s="24"/>
      <c r="D713" s="24"/>
      <c r="E713" s="24"/>
      <c r="F713" s="24"/>
      <c r="G713" s="24"/>
      <c r="H713" s="24"/>
      <c r="I713" s="24"/>
      <c r="J713" s="5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2.75" x14ac:dyDescent="0.2">
      <c r="A714" s="24"/>
      <c r="B714" s="24"/>
      <c r="C714" s="24"/>
      <c r="D714" s="24"/>
      <c r="E714" s="24"/>
      <c r="F714" s="24"/>
      <c r="G714" s="24"/>
      <c r="H714" s="24"/>
      <c r="I714" s="24"/>
      <c r="J714" s="5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2.75" x14ac:dyDescent="0.2">
      <c r="A715" s="24"/>
      <c r="B715" s="24"/>
      <c r="C715" s="24"/>
      <c r="D715" s="24"/>
      <c r="E715" s="24"/>
      <c r="F715" s="24"/>
      <c r="G715" s="24"/>
      <c r="H715" s="24"/>
      <c r="I715" s="24"/>
      <c r="J715" s="5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2.75" x14ac:dyDescent="0.2">
      <c r="A716" s="24"/>
      <c r="B716" s="24"/>
      <c r="C716" s="24"/>
      <c r="D716" s="24"/>
      <c r="E716" s="24"/>
      <c r="F716" s="24"/>
      <c r="G716" s="24"/>
      <c r="H716" s="24"/>
      <c r="I716" s="24"/>
      <c r="J716" s="5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2.75" x14ac:dyDescent="0.2">
      <c r="A717" s="24"/>
      <c r="B717" s="24"/>
      <c r="C717" s="24"/>
      <c r="D717" s="24"/>
      <c r="E717" s="24"/>
      <c r="F717" s="24"/>
      <c r="G717" s="24"/>
      <c r="H717" s="24"/>
      <c r="I717" s="24"/>
      <c r="J717" s="5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2.75" x14ac:dyDescent="0.2">
      <c r="A718" s="24"/>
      <c r="B718" s="24"/>
      <c r="C718" s="24"/>
      <c r="D718" s="24"/>
      <c r="E718" s="24"/>
      <c r="F718" s="24"/>
      <c r="G718" s="24"/>
      <c r="H718" s="24"/>
      <c r="I718" s="24"/>
      <c r="J718" s="5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2.75" x14ac:dyDescent="0.2">
      <c r="A719" s="24"/>
      <c r="B719" s="24"/>
      <c r="C719" s="24"/>
      <c r="D719" s="24"/>
      <c r="E719" s="24"/>
      <c r="F719" s="24"/>
      <c r="G719" s="24"/>
      <c r="H719" s="24"/>
      <c r="I719" s="24"/>
      <c r="J719" s="5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2.75" x14ac:dyDescent="0.2">
      <c r="A720" s="24"/>
      <c r="B720" s="24"/>
      <c r="C720" s="24"/>
      <c r="D720" s="24"/>
      <c r="E720" s="24"/>
      <c r="F720" s="24"/>
      <c r="G720" s="24"/>
      <c r="H720" s="24"/>
      <c r="I720" s="24"/>
      <c r="J720" s="5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2.75" x14ac:dyDescent="0.2">
      <c r="A721" s="24"/>
      <c r="B721" s="24"/>
      <c r="C721" s="24"/>
      <c r="D721" s="24"/>
      <c r="E721" s="24"/>
      <c r="F721" s="24"/>
      <c r="G721" s="24"/>
      <c r="H721" s="24"/>
      <c r="I721" s="24"/>
      <c r="J721" s="5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2.75" x14ac:dyDescent="0.2">
      <c r="A722" s="24"/>
      <c r="B722" s="24"/>
      <c r="C722" s="24"/>
      <c r="D722" s="24"/>
      <c r="E722" s="24"/>
      <c r="F722" s="24"/>
      <c r="G722" s="24"/>
      <c r="H722" s="24"/>
      <c r="I722" s="24"/>
      <c r="J722" s="5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2.75" x14ac:dyDescent="0.2">
      <c r="A723" s="24"/>
      <c r="B723" s="24"/>
      <c r="C723" s="24"/>
      <c r="D723" s="24"/>
      <c r="E723" s="24"/>
      <c r="F723" s="24"/>
      <c r="G723" s="24"/>
      <c r="H723" s="24"/>
      <c r="I723" s="24"/>
      <c r="J723" s="5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2.75" x14ac:dyDescent="0.2">
      <c r="A724" s="24"/>
      <c r="B724" s="24"/>
      <c r="C724" s="24"/>
      <c r="D724" s="24"/>
      <c r="E724" s="24"/>
      <c r="F724" s="24"/>
      <c r="G724" s="24"/>
      <c r="H724" s="24"/>
      <c r="I724" s="24"/>
      <c r="J724" s="5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2.75" x14ac:dyDescent="0.2">
      <c r="A725" s="24"/>
      <c r="B725" s="24"/>
      <c r="C725" s="24"/>
      <c r="D725" s="24"/>
      <c r="E725" s="24"/>
      <c r="F725" s="24"/>
      <c r="G725" s="24"/>
      <c r="H725" s="24"/>
      <c r="I725" s="24"/>
      <c r="J725" s="5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2.75" x14ac:dyDescent="0.2">
      <c r="A726" s="24"/>
      <c r="B726" s="24"/>
      <c r="C726" s="24"/>
      <c r="D726" s="24"/>
      <c r="E726" s="24"/>
      <c r="F726" s="24"/>
      <c r="G726" s="24"/>
      <c r="H726" s="24"/>
      <c r="I726" s="24"/>
      <c r="J726" s="5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2.75" x14ac:dyDescent="0.2">
      <c r="A727" s="24"/>
      <c r="B727" s="24"/>
      <c r="C727" s="24"/>
      <c r="D727" s="24"/>
      <c r="E727" s="24"/>
      <c r="F727" s="24"/>
      <c r="G727" s="24"/>
      <c r="H727" s="24"/>
      <c r="I727" s="24"/>
      <c r="J727" s="5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2.75" x14ac:dyDescent="0.2">
      <c r="A728" s="24"/>
      <c r="B728" s="24"/>
      <c r="C728" s="24"/>
      <c r="D728" s="24"/>
      <c r="E728" s="24"/>
      <c r="F728" s="24"/>
      <c r="G728" s="24"/>
      <c r="H728" s="24"/>
      <c r="I728" s="24"/>
      <c r="J728" s="5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2.75" x14ac:dyDescent="0.2">
      <c r="A729" s="24"/>
      <c r="B729" s="24"/>
      <c r="C729" s="24"/>
      <c r="D729" s="24"/>
      <c r="E729" s="24"/>
      <c r="F729" s="24"/>
      <c r="G729" s="24"/>
      <c r="H729" s="24"/>
      <c r="I729" s="24"/>
      <c r="J729" s="5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2.75" x14ac:dyDescent="0.2">
      <c r="A730" s="24"/>
      <c r="B730" s="24"/>
      <c r="C730" s="24"/>
      <c r="D730" s="24"/>
      <c r="E730" s="24"/>
      <c r="F730" s="24"/>
      <c r="G730" s="24"/>
      <c r="H730" s="24"/>
      <c r="I730" s="24"/>
      <c r="J730" s="5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2.75" x14ac:dyDescent="0.2">
      <c r="A731" s="24"/>
      <c r="B731" s="24"/>
      <c r="C731" s="24"/>
      <c r="D731" s="24"/>
      <c r="E731" s="24"/>
      <c r="F731" s="24"/>
      <c r="G731" s="24"/>
      <c r="H731" s="24"/>
      <c r="I731" s="24"/>
      <c r="J731" s="5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2.75" x14ac:dyDescent="0.2">
      <c r="A732" s="24"/>
      <c r="B732" s="24"/>
      <c r="C732" s="24"/>
      <c r="D732" s="24"/>
      <c r="E732" s="24"/>
      <c r="F732" s="24"/>
      <c r="G732" s="24"/>
      <c r="H732" s="24"/>
      <c r="I732" s="24"/>
      <c r="J732" s="5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2.75" x14ac:dyDescent="0.2">
      <c r="A733" s="24"/>
      <c r="B733" s="24"/>
      <c r="C733" s="24"/>
      <c r="D733" s="24"/>
      <c r="E733" s="24"/>
      <c r="F733" s="24"/>
      <c r="G733" s="24"/>
      <c r="H733" s="24"/>
      <c r="I733" s="24"/>
      <c r="J733" s="5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2.75" x14ac:dyDescent="0.2">
      <c r="A734" s="24"/>
      <c r="B734" s="24"/>
      <c r="C734" s="24"/>
      <c r="D734" s="24"/>
      <c r="E734" s="24"/>
      <c r="F734" s="24"/>
      <c r="G734" s="24"/>
      <c r="H734" s="24"/>
      <c r="I734" s="24"/>
      <c r="J734" s="5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2.75" x14ac:dyDescent="0.2">
      <c r="A735" s="24"/>
      <c r="B735" s="24"/>
      <c r="C735" s="24"/>
      <c r="D735" s="24"/>
      <c r="E735" s="24"/>
      <c r="F735" s="24"/>
      <c r="G735" s="24"/>
      <c r="H735" s="24"/>
      <c r="I735" s="24"/>
      <c r="J735" s="5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2.75" x14ac:dyDescent="0.2">
      <c r="A736" s="24"/>
      <c r="B736" s="24"/>
      <c r="C736" s="24"/>
      <c r="D736" s="24"/>
      <c r="E736" s="24"/>
      <c r="F736" s="24"/>
      <c r="G736" s="24"/>
      <c r="H736" s="24"/>
      <c r="I736" s="24"/>
      <c r="J736" s="5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2.75" x14ac:dyDescent="0.2">
      <c r="A737" s="24"/>
      <c r="B737" s="24"/>
      <c r="C737" s="24"/>
      <c r="D737" s="24"/>
      <c r="E737" s="24"/>
      <c r="F737" s="24"/>
      <c r="G737" s="24"/>
      <c r="H737" s="24"/>
      <c r="I737" s="24"/>
      <c r="J737" s="5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2.75" x14ac:dyDescent="0.2">
      <c r="A738" s="24"/>
      <c r="B738" s="24"/>
      <c r="C738" s="24"/>
      <c r="D738" s="24"/>
      <c r="E738" s="24"/>
      <c r="F738" s="24"/>
      <c r="G738" s="24"/>
      <c r="H738" s="24"/>
      <c r="I738" s="24"/>
      <c r="J738" s="5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2.75" x14ac:dyDescent="0.2">
      <c r="A739" s="24"/>
      <c r="B739" s="24"/>
      <c r="C739" s="24"/>
      <c r="D739" s="24"/>
      <c r="E739" s="24"/>
      <c r="F739" s="24"/>
      <c r="G739" s="24"/>
      <c r="H739" s="24"/>
      <c r="I739" s="24"/>
      <c r="J739" s="5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2.75" x14ac:dyDescent="0.2">
      <c r="A740" s="24"/>
      <c r="B740" s="24"/>
      <c r="C740" s="24"/>
      <c r="D740" s="24"/>
      <c r="E740" s="24"/>
      <c r="F740" s="24"/>
      <c r="G740" s="24"/>
      <c r="H740" s="24"/>
      <c r="I740" s="24"/>
      <c r="J740" s="5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2.75" x14ac:dyDescent="0.2">
      <c r="A741" s="24"/>
      <c r="B741" s="24"/>
      <c r="C741" s="24"/>
      <c r="D741" s="24"/>
      <c r="E741" s="24"/>
      <c r="F741" s="24"/>
      <c r="G741" s="24"/>
      <c r="H741" s="24"/>
      <c r="I741" s="24"/>
      <c r="J741" s="5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2.75" x14ac:dyDescent="0.2">
      <c r="A742" s="24"/>
      <c r="B742" s="24"/>
      <c r="C742" s="24"/>
      <c r="D742" s="24"/>
      <c r="E742" s="24"/>
      <c r="F742" s="24"/>
      <c r="G742" s="24"/>
      <c r="H742" s="24"/>
      <c r="I742" s="24"/>
      <c r="J742" s="5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2.75" x14ac:dyDescent="0.2">
      <c r="A743" s="24"/>
      <c r="B743" s="24"/>
      <c r="C743" s="24"/>
      <c r="D743" s="24"/>
      <c r="E743" s="24"/>
      <c r="F743" s="24"/>
      <c r="G743" s="24"/>
      <c r="H743" s="24"/>
      <c r="I743" s="24"/>
      <c r="J743" s="5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2.75" x14ac:dyDescent="0.2">
      <c r="A744" s="24"/>
      <c r="B744" s="24"/>
      <c r="C744" s="24"/>
      <c r="D744" s="24"/>
      <c r="E744" s="24"/>
      <c r="F744" s="24"/>
      <c r="G744" s="24"/>
      <c r="H744" s="24"/>
      <c r="I744" s="24"/>
      <c r="J744" s="5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2.75" x14ac:dyDescent="0.2">
      <c r="A745" s="24"/>
      <c r="B745" s="24"/>
      <c r="C745" s="24"/>
      <c r="D745" s="24"/>
      <c r="E745" s="24"/>
      <c r="F745" s="24"/>
      <c r="G745" s="24"/>
      <c r="H745" s="24"/>
      <c r="I745" s="24"/>
      <c r="J745" s="5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2.75" x14ac:dyDescent="0.2">
      <c r="A746" s="24"/>
      <c r="B746" s="24"/>
      <c r="C746" s="24"/>
      <c r="D746" s="24"/>
      <c r="E746" s="24"/>
      <c r="F746" s="24"/>
      <c r="G746" s="24"/>
      <c r="H746" s="24"/>
      <c r="I746" s="24"/>
      <c r="J746" s="5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2.75" x14ac:dyDescent="0.2">
      <c r="A747" s="24"/>
      <c r="B747" s="24"/>
      <c r="C747" s="24"/>
      <c r="D747" s="24"/>
      <c r="E747" s="24"/>
      <c r="F747" s="24"/>
      <c r="G747" s="24"/>
      <c r="H747" s="24"/>
      <c r="I747" s="24"/>
      <c r="J747" s="5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2.75" x14ac:dyDescent="0.2">
      <c r="A748" s="24"/>
      <c r="B748" s="24"/>
      <c r="C748" s="24"/>
      <c r="D748" s="24"/>
      <c r="E748" s="24"/>
      <c r="F748" s="24"/>
      <c r="G748" s="24"/>
      <c r="H748" s="24"/>
      <c r="I748" s="24"/>
      <c r="J748" s="5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2.75" x14ac:dyDescent="0.2">
      <c r="A749" s="24"/>
      <c r="B749" s="24"/>
      <c r="C749" s="24"/>
      <c r="D749" s="24"/>
      <c r="E749" s="24"/>
      <c r="F749" s="24"/>
      <c r="G749" s="24"/>
      <c r="H749" s="24"/>
      <c r="I749" s="24"/>
      <c r="J749" s="5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2.75" x14ac:dyDescent="0.2">
      <c r="A750" s="24"/>
      <c r="B750" s="24"/>
      <c r="C750" s="24"/>
      <c r="D750" s="24"/>
      <c r="E750" s="24"/>
      <c r="F750" s="24"/>
      <c r="G750" s="24"/>
      <c r="H750" s="24"/>
      <c r="I750" s="24"/>
      <c r="J750" s="55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2.75" x14ac:dyDescent="0.2">
      <c r="A751" s="24"/>
      <c r="B751" s="24"/>
      <c r="C751" s="24"/>
      <c r="D751" s="24"/>
      <c r="E751" s="24"/>
      <c r="F751" s="24"/>
      <c r="G751" s="24"/>
      <c r="H751" s="24"/>
      <c r="I751" s="24"/>
      <c r="J751" s="55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2.75" x14ac:dyDescent="0.2">
      <c r="A752" s="24"/>
      <c r="B752" s="24"/>
      <c r="C752" s="24"/>
      <c r="D752" s="24"/>
      <c r="E752" s="24"/>
      <c r="F752" s="24"/>
      <c r="G752" s="24"/>
      <c r="H752" s="24"/>
      <c r="I752" s="24"/>
      <c r="J752" s="55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2.75" x14ac:dyDescent="0.2">
      <c r="A753" s="24"/>
      <c r="B753" s="24"/>
      <c r="C753" s="24"/>
      <c r="D753" s="24"/>
      <c r="E753" s="24"/>
      <c r="F753" s="24"/>
      <c r="G753" s="24"/>
      <c r="H753" s="24"/>
      <c r="I753" s="24"/>
      <c r="J753" s="55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2.75" x14ac:dyDescent="0.2">
      <c r="A754" s="24"/>
      <c r="B754" s="24"/>
      <c r="C754" s="24"/>
      <c r="D754" s="24"/>
      <c r="E754" s="24"/>
      <c r="F754" s="24"/>
      <c r="G754" s="24"/>
      <c r="H754" s="24"/>
      <c r="I754" s="24"/>
      <c r="J754" s="55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2.75" x14ac:dyDescent="0.2">
      <c r="A755" s="24"/>
      <c r="B755" s="24"/>
      <c r="C755" s="24"/>
      <c r="D755" s="24"/>
      <c r="E755" s="24"/>
      <c r="F755" s="24"/>
      <c r="G755" s="24"/>
      <c r="H755" s="24"/>
      <c r="I755" s="24"/>
      <c r="J755" s="55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2.75" x14ac:dyDescent="0.2">
      <c r="A756" s="24"/>
      <c r="B756" s="24"/>
      <c r="C756" s="24"/>
      <c r="D756" s="24"/>
      <c r="E756" s="24"/>
      <c r="F756" s="24"/>
      <c r="G756" s="24"/>
      <c r="H756" s="24"/>
      <c r="I756" s="24"/>
      <c r="J756" s="55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2.75" x14ac:dyDescent="0.2">
      <c r="A757" s="24"/>
      <c r="B757" s="24"/>
      <c r="C757" s="24"/>
      <c r="D757" s="24"/>
      <c r="E757" s="24"/>
      <c r="F757" s="24"/>
      <c r="G757" s="24"/>
      <c r="H757" s="24"/>
      <c r="I757" s="24"/>
      <c r="J757" s="55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2.75" x14ac:dyDescent="0.2">
      <c r="A758" s="24"/>
      <c r="B758" s="24"/>
      <c r="C758" s="24"/>
      <c r="D758" s="24"/>
      <c r="E758" s="24"/>
      <c r="F758" s="24"/>
      <c r="G758" s="24"/>
      <c r="H758" s="24"/>
      <c r="I758" s="24"/>
      <c r="J758" s="55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2.75" x14ac:dyDescent="0.2">
      <c r="A759" s="24"/>
      <c r="B759" s="24"/>
      <c r="C759" s="24"/>
      <c r="D759" s="24"/>
      <c r="E759" s="24"/>
      <c r="F759" s="24"/>
      <c r="G759" s="24"/>
      <c r="H759" s="24"/>
      <c r="I759" s="24"/>
      <c r="J759" s="55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2.75" x14ac:dyDescent="0.2">
      <c r="A760" s="24"/>
      <c r="B760" s="24"/>
      <c r="C760" s="24"/>
      <c r="D760" s="24"/>
      <c r="E760" s="24"/>
      <c r="F760" s="24"/>
      <c r="G760" s="24"/>
      <c r="H760" s="24"/>
      <c r="I760" s="24"/>
      <c r="J760" s="55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2.75" x14ac:dyDescent="0.2">
      <c r="A761" s="24"/>
      <c r="B761" s="24"/>
      <c r="C761" s="24"/>
      <c r="D761" s="24"/>
      <c r="E761" s="24"/>
      <c r="F761" s="24"/>
      <c r="G761" s="24"/>
      <c r="H761" s="24"/>
      <c r="I761" s="24"/>
      <c r="J761" s="55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2.75" x14ac:dyDescent="0.2">
      <c r="A762" s="24"/>
      <c r="B762" s="24"/>
      <c r="C762" s="24"/>
      <c r="D762" s="24"/>
      <c r="E762" s="24"/>
      <c r="F762" s="24"/>
      <c r="G762" s="24"/>
      <c r="H762" s="24"/>
      <c r="I762" s="24"/>
      <c r="J762" s="55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2.75" x14ac:dyDescent="0.2">
      <c r="A763" s="24"/>
      <c r="B763" s="24"/>
      <c r="C763" s="24"/>
      <c r="D763" s="24"/>
      <c r="E763" s="24"/>
      <c r="F763" s="24"/>
      <c r="G763" s="24"/>
      <c r="H763" s="24"/>
      <c r="I763" s="24"/>
      <c r="J763" s="55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2.75" x14ac:dyDescent="0.2">
      <c r="A764" s="24"/>
      <c r="B764" s="24"/>
      <c r="C764" s="24"/>
      <c r="D764" s="24"/>
      <c r="E764" s="24"/>
      <c r="F764" s="24"/>
      <c r="G764" s="24"/>
      <c r="H764" s="24"/>
      <c r="I764" s="24"/>
      <c r="J764" s="55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2.75" x14ac:dyDescent="0.2">
      <c r="A765" s="24"/>
      <c r="B765" s="24"/>
      <c r="C765" s="24"/>
      <c r="D765" s="24"/>
      <c r="E765" s="24"/>
      <c r="F765" s="24"/>
      <c r="G765" s="24"/>
      <c r="H765" s="24"/>
      <c r="I765" s="24"/>
      <c r="J765" s="55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2.75" x14ac:dyDescent="0.2">
      <c r="A766" s="24"/>
      <c r="B766" s="24"/>
      <c r="C766" s="24"/>
      <c r="D766" s="24"/>
      <c r="E766" s="24"/>
      <c r="F766" s="24"/>
      <c r="G766" s="24"/>
      <c r="H766" s="24"/>
      <c r="I766" s="24"/>
      <c r="J766" s="55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2.75" x14ac:dyDescent="0.2">
      <c r="A767" s="24"/>
      <c r="B767" s="24"/>
      <c r="C767" s="24"/>
      <c r="D767" s="24"/>
      <c r="E767" s="24"/>
      <c r="F767" s="24"/>
      <c r="G767" s="24"/>
      <c r="H767" s="24"/>
      <c r="I767" s="24"/>
      <c r="J767" s="55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2.75" x14ac:dyDescent="0.2">
      <c r="A768" s="24"/>
      <c r="B768" s="24"/>
      <c r="C768" s="24"/>
      <c r="D768" s="24"/>
      <c r="E768" s="24"/>
      <c r="F768" s="24"/>
      <c r="G768" s="24"/>
      <c r="H768" s="24"/>
      <c r="I768" s="24"/>
      <c r="J768" s="55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2.75" x14ac:dyDescent="0.2">
      <c r="A769" s="24"/>
      <c r="B769" s="24"/>
      <c r="C769" s="24"/>
      <c r="D769" s="24"/>
      <c r="E769" s="24"/>
      <c r="F769" s="24"/>
      <c r="G769" s="24"/>
      <c r="H769" s="24"/>
      <c r="I769" s="24"/>
      <c r="J769" s="55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2.75" x14ac:dyDescent="0.2">
      <c r="A770" s="24"/>
      <c r="B770" s="24"/>
      <c r="C770" s="24"/>
      <c r="D770" s="24"/>
      <c r="E770" s="24"/>
      <c r="F770" s="24"/>
      <c r="G770" s="24"/>
      <c r="H770" s="24"/>
      <c r="I770" s="24"/>
      <c r="J770" s="55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2.75" x14ac:dyDescent="0.2">
      <c r="A771" s="24"/>
      <c r="B771" s="24"/>
      <c r="C771" s="24"/>
      <c r="D771" s="24"/>
      <c r="E771" s="24"/>
      <c r="F771" s="24"/>
      <c r="G771" s="24"/>
      <c r="H771" s="24"/>
      <c r="I771" s="24"/>
      <c r="J771" s="55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2.75" x14ac:dyDescent="0.2">
      <c r="A772" s="24"/>
      <c r="B772" s="24"/>
      <c r="C772" s="24"/>
      <c r="D772" s="24"/>
      <c r="E772" s="24"/>
      <c r="F772" s="24"/>
      <c r="G772" s="24"/>
      <c r="H772" s="24"/>
      <c r="I772" s="24"/>
      <c r="J772" s="55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2.75" x14ac:dyDescent="0.2">
      <c r="A773" s="24"/>
      <c r="B773" s="24"/>
      <c r="C773" s="24"/>
      <c r="D773" s="24"/>
      <c r="E773" s="24"/>
      <c r="F773" s="24"/>
      <c r="G773" s="24"/>
      <c r="H773" s="24"/>
      <c r="I773" s="24"/>
      <c r="J773" s="55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2.75" x14ac:dyDescent="0.2">
      <c r="A774" s="24"/>
      <c r="B774" s="24"/>
      <c r="C774" s="24"/>
      <c r="D774" s="24"/>
      <c r="E774" s="24"/>
      <c r="F774" s="24"/>
      <c r="G774" s="24"/>
      <c r="H774" s="24"/>
      <c r="I774" s="24"/>
      <c r="J774" s="55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2.75" x14ac:dyDescent="0.2">
      <c r="A775" s="24"/>
      <c r="B775" s="24"/>
      <c r="C775" s="24"/>
      <c r="D775" s="24"/>
      <c r="E775" s="24"/>
      <c r="F775" s="24"/>
      <c r="G775" s="24"/>
      <c r="H775" s="24"/>
      <c r="I775" s="24"/>
      <c r="J775" s="55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2.75" x14ac:dyDescent="0.2">
      <c r="A776" s="24"/>
      <c r="B776" s="24"/>
      <c r="C776" s="24"/>
      <c r="D776" s="24"/>
      <c r="E776" s="24"/>
      <c r="F776" s="24"/>
      <c r="G776" s="24"/>
      <c r="H776" s="24"/>
      <c r="I776" s="24"/>
      <c r="J776" s="55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2.75" x14ac:dyDescent="0.2">
      <c r="A777" s="24"/>
      <c r="B777" s="24"/>
      <c r="C777" s="24"/>
      <c r="D777" s="24"/>
      <c r="E777" s="24"/>
      <c r="F777" s="24"/>
      <c r="G777" s="24"/>
      <c r="H777" s="24"/>
      <c r="I777" s="24"/>
      <c r="J777" s="55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2.75" x14ac:dyDescent="0.2">
      <c r="A778" s="24"/>
      <c r="B778" s="24"/>
      <c r="C778" s="24"/>
      <c r="D778" s="24"/>
      <c r="E778" s="24"/>
      <c r="F778" s="24"/>
      <c r="G778" s="24"/>
      <c r="H778" s="24"/>
      <c r="I778" s="24"/>
      <c r="J778" s="55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2.75" x14ac:dyDescent="0.2">
      <c r="A779" s="24"/>
      <c r="B779" s="24"/>
      <c r="C779" s="24"/>
      <c r="D779" s="24"/>
      <c r="E779" s="24"/>
      <c r="F779" s="24"/>
      <c r="G779" s="24"/>
      <c r="H779" s="24"/>
      <c r="I779" s="24"/>
      <c r="J779" s="55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2.75" x14ac:dyDescent="0.2">
      <c r="A780" s="24"/>
      <c r="B780" s="24"/>
      <c r="C780" s="24"/>
      <c r="D780" s="24"/>
      <c r="E780" s="24"/>
      <c r="F780" s="24"/>
      <c r="G780" s="24"/>
      <c r="H780" s="24"/>
      <c r="I780" s="24"/>
      <c r="J780" s="55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2.75" x14ac:dyDescent="0.2">
      <c r="A781" s="24"/>
      <c r="B781" s="24"/>
      <c r="C781" s="24"/>
      <c r="D781" s="24"/>
      <c r="E781" s="24"/>
      <c r="F781" s="24"/>
      <c r="G781" s="24"/>
      <c r="H781" s="24"/>
      <c r="I781" s="24"/>
      <c r="J781" s="55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2.75" x14ac:dyDescent="0.2">
      <c r="A782" s="24"/>
      <c r="B782" s="24"/>
      <c r="C782" s="24"/>
      <c r="D782" s="24"/>
      <c r="E782" s="24"/>
      <c r="F782" s="24"/>
      <c r="G782" s="24"/>
      <c r="H782" s="24"/>
      <c r="I782" s="24"/>
      <c r="J782" s="55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2.75" x14ac:dyDescent="0.2">
      <c r="A783" s="24"/>
      <c r="B783" s="24"/>
      <c r="C783" s="24"/>
      <c r="D783" s="24"/>
      <c r="E783" s="24"/>
      <c r="F783" s="24"/>
      <c r="G783" s="24"/>
      <c r="H783" s="24"/>
      <c r="I783" s="24"/>
      <c r="J783" s="55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2.75" x14ac:dyDescent="0.2">
      <c r="A784" s="24"/>
      <c r="B784" s="24"/>
      <c r="C784" s="24"/>
      <c r="D784" s="24"/>
      <c r="E784" s="24"/>
      <c r="F784" s="24"/>
      <c r="G784" s="24"/>
      <c r="H784" s="24"/>
      <c r="I784" s="24"/>
      <c r="J784" s="55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2.75" x14ac:dyDescent="0.2">
      <c r="A785" s="24"/>
      <c r="B785" s="24"/>
      <c r="C785" s="24"/>
      <c r="D785" s="24"/>
      <c r="E785" s="24"/>
      <c r="F785" s="24"/>
      <c r="G785" s="24"/>
      <c r="H785" s="24"/>
      <c r="I785" s="24"/>
      <c r="J785" s="55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2.75" x14ac:dyDescent="0.2">
      <c r="A786" s="24"/>
      <c r="B786" s="24"/>
      <c r="C786" s="24"/>
      <c r="D786" s="24"/>
      <c r="E786" s="24"/>
      <c r="F786" s="24"/>
      <c r="G786" s="24"/>
      <c r="H786" s="24"/>
      <c r="I786" s="24"/>
      <c r="J786" s="55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2.75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55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2.75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55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2.75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55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2.75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55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2.75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55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2.75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55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2.75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55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2.75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55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2.75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55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2.75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55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2.75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55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2.75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55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2.75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55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2.75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55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2.75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55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2.75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55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2.75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55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2.75" x14ac:dyDescent="0.2">
      <c r="A804" s="24"/>
      <c r="B804" s="24"/>
      <c r="C804" s="24"/>
      <c r="D804" s="24"/>
      <c r="E804" s="24"/>
      <c r="F804" s="24"/>
      <c r="G804" s="24"/>
      <c r="H804" s="24"/>
      <c r="I804" s="24"/>
      <c r="J804" s="55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2.75" x14ac:dyDescent="0.2">
      <c r="A805" s="24"/>
      <c r="B805" s="24"/>
      <c r="C805" s="24"/>
      <c r="D805" s="24"/>
      <c r="E805" s="24"/>
      <c r="F805" s="24"/>
      <c r="G805" s="24"/>
      <c r="H805" s="24"/>
      <c r="I805" s="24"/>
      <c r="J805" s="55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2.75" x14ac:dyDescent="0.2">
      <c r="A806" s="24"/>
      <c r="B806" s="24"/>
      <c r="C806" s="24"/>
      <c r="D806" s="24"/>
      <c r="E806" s="24"/>
      <c r="F806" s="24"/>
      <c r="G806" s="24"/>
      <c r="H806" s="24"/>
      <c r="I806" s="24"/>
      <c r="J806" s="55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2.75" x14ac:dyDescent="0.2">
      <c r="A807" s="24"/>
      <c r="B807" s="24"/>
      <c r="C807" s="24"/>
      <c r="D807" s="24"/>
      <c r="E807" s="24"/>
      <c r="F807" s="24"/>
      <c r="G807" s="24"/>
      <c r="H807" s="24"/>
      <c r="I807" s="24"/>
      <c r="J807" s="55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2.75" x14ac:dyDescent="0.2">
      <c r="A808" s="24"/>
      <c r="B808" s="24"/>
      <c r="C808" s="24"/>
      <c r="D808" s="24"/>
      <c r="E808" s="24"/>
      <c r="F808" s="24"/>
      <c r="G808" s="24"/>
      <c r="H808" s="24"/>
      <c r="I808" s="24"/>
      <c r="J808" s="55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2.75" x14ac:dyDescent="0.2">
      <c r="A809" s="24"/>
      <c r="B809" s="24"/>
      <c r="C809" s="24"/>
      <c r="D809" s="24"/>
      <c r="E809" s="24"/>
      <c r="F809" s="24"/>
      <c r="G809" s="24"/>
      <c r="H809" s="24"/>
      <c r="I809" s="24"/>
      <c r="J809" s="55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2.75" x14ac:dyDescent="0.2">
      <c r="A810" s="24"/>
      <c r="B810" s="24"/>
      <c r="C810" s="24"/>
      <c r="D810" s="24"/>
      <c r="E810" s="24"/>
      <c r="F810" s="24"/>
      <c r="G810" s="24"/>
      <c r="H810" s="24"/>
      <c r="I810" s="24"/>
      <c r="J810" s="55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2.75" x14ac:dyDescent="0.2">
      <c r="A811" s="24"/>
      <c r="B811" s="24"/>
      <c r="C811" s="24"/>
      <c r="D811" s="24"/>
      <c r="E811" s="24"/>
      <c r="F811" s="24"/>
      <c r="G811" s="24"/>
      <c r="H811" s="24"/>
      <c r="I811" s="24"/>
      <c r="J811" s="55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2.75" x14ac:dyDescent="0.2">
      <c r="A812" s="24"/>
      <c r="B812" s="24"/>
      <c r="C812" s="24"/>
      <c r="D812" s="24"/>
      <c r="E812" s="24"/>
      <c r="F812" s="24"/>
      <c r="G812" s="24"/>
      <c r="H812" s="24"/>
      <c r="I812" s="24"/>
      <c r="J812" s="55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2.75" x14ac:dyDescent="0.2">
      <c r="A813" s="24"/>
      <c r="B813" s="24"/>
      <c r="C813" s="24"/>
      <c r="D813" s="24"/>
      <c r="E813" s="24"/>
      <c r="F813" s="24"/>
      <c r="G813" s="24"/>
      <c r="H813" s="24"/>
      <c r="I813" s="24"/>
      <c r="J813" s="55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2.75" x14ac:dyDescent="0.2">
      <c r="A814" s="24"/>
      <c r="B814" s="24"/>
      <c r="C814" s="24"/>
      <c r="D814" s="24"/>
      <c r="E814" s="24"/>
      <c r="F814" s="24"/>
      <c r="G814" s="24"/>
      <c r="H814" s="24"/>
      <c r="I814" s="24"/>
      <c r="J814" s="55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2.75" x14ac:dyDescent="0.2">
      <c r="A815" s="24"/>
      <c r="B815" s="24"/>
      <c r="C815" s="24"/>
      <c r="D815" s="24"/>
      <c r="E815" s="24"/>
      <c r="F815" s="24"/>
      <c r="G815" s="24"/>
      <c r="H815" s="24"/>
      <c r="I815" s="24"/>
      <c r="J815" s="55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2.75" x14ac:dyDescent="0.2">
      <c r="A816" s="24"/>
      <c r="B816" s="24"/>
      <c r="C816" s="24"/>
      <c r="D816" s="24"/>
      <c r="E816" s="24"/>
      <c r="F816" s="24"/>
      <c r="G816" s="24"/>
      <c r="H816" s="24"/>
      <c r="I816" s="24"/>
      <c r="J816" s="55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2.75" x14ac:dyDescent="0.2">
      <c r="A817" s="24"/>
      <c r="B817" s="24"/>
      <c r="C817" s="24"/>
      <c r="D817" s="24"/>
      <c r="E817" s="24"/>
      <c r="F817" s="24"/>
      <c r="G817" s="24"/>
      <c r="H817" s="24"/>
      <c r="I817" s="24"/>
      <c r="J817" s="55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2.75" x14ac:dyDescent="0.2">
      <c r="A818" s="24"/>
      <c r="B818" s="24"/>
      <c r="C818" s="24"/>
      <c r="D818" s="24"/>
      <c r="E818" s="24"/>
      <c r="F818" s="24"/>
      <c r="G818" s="24"/>
      <c r="H818" s="24"/>
      <c r="I818" s="24"/>
      <c r="J818" s="55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2.75" x14ac:dyDescent="0.2">
      <c r="A819" s="24"/>
      <c r="B819" s="24"/>
      <c r="C819" s="24"/>
      <c r="D819" s="24"/>
      <c r="E819" s="24"/>
      <c r="F819" s="24"/>
      <c r="G819" s="24"/>
      <c r="H819" s="24"/>
      <c r="I819" s="24"/>
      <c r="J819" s="55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2.75" x14ac:dyDescent="0.2">
      <c r="A820" s="24"/>
      <c r="B820" s="24"/>
      <c r="C820" s="24"/>
      <c r="D820" s="24"/>
      <c r="E820" s="24"/>
      <c r="F820" s="24"/>
      <c r="G820" s="24"/>
      <c r="H820" s="24"/>
      <c r="I820" s="24"/>
      <c r="J820" s="55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2.75" x14ac:dyDescent="0.2">
      <c r="A821" s="24"/>
      <c r="B821" s="24"/>
      <c r="C821" s="24"/>
      <c r="D821" s="24"/>
      <c r="E821" s="24"/>
      <c r="F821" s="24"/>
      <c r="G821" s="24"/>
      <c r="H821" s="24"/>
      <c r="I821" s="24"/>
      <c r="J821" s="55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2.75" x14ac:dyDescent="0.2">
      <c r="A822" s="24"/>
      <c r="B822" s="24"/>
      <c r="C822" s="24"/>
      <c r="D822" s="24"/>
      <c r="E822" s="24"/>
      <c r="F822" s="24"/>
      <c r="G822" s="24"/>
      <c r="H822" s="24"/>
      <c r="I822" s="24"/>
      <c r="J822" s="55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2.75" x14ac:dyDescent="0.2">
      <c r="A823" s="24"/>
      <c r="B823" s="24"/>
      <c r="C823" s="24"/>
      <c r="D823" s="24"/>
      <c r="E823" s="24"/>
      <c r="F823" s="24"/>
      <c r="G823" s="24"/>
      <c r="H823" s="24"/>
      <c r="I823" s="24"/>
      <c r="J823" s="55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2.75" x14ac:dyDescent="0.2">
      <c r="A824" s="24"/>
      <c r="B824" s="24"/>
      <c r="C824" s="24"/>
      <c r="D824" s="24"/>
      <c r="E824" s="24"/>
      <c r="F824" s="24"/>
      <c r="G824" s="24"/>
      <c r="H824" s="24"/>
      <c r="I824" s="24"/>
      <c r="J824" s="55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2.75" x14ac:dyDescent="0.2">
      <c r="A825" s="24"/>
      <c r="B825" s="24"/>
      <c r="C825" s="24"/>
      <c r="D825" s="24"/>
      <c r="E825" s="24"/>
      <c r="F825" s="24"/>
      <c r="G825" s="24"/>
      <c r="H825" s="24"/>
      <c r="I825" s="24"/>
      <c r="J825" s="55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2.75" x14ac:dyDescent="0.2">
      <c r="A826" s="24"/>
      <c r="B826" s="24"/>
      <c r="C826" s="24"/>
      <c r="D826" s="24"/>
      <c r="E826" s="24"/>
      <c r="F826" s="24"/>
      <c r="G826" s="24"/>
      <c r="H826" s="24"/>
      <c r="I826" s="24"/>
      <c r="J826" s="55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2.75" x14ac:dyDescent="0.2">
      <c r="A827" s="24"/>
      <c r="B827" s="24"/>
      <c r="C827" s="24"/>
      <c r="D827" s="24"/>
      <c r="E827" s="24"/>
      <c r="F827" s="24"/>
      <c r="G827" s="24"/>
      <c r="H827" s="24"/>
      <c r="I827" s="24"/>
      <c r="J827" s="55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2.75" x14ac:dyDescent="0.2">
      <c r="A828" s="24"/>
      <c r="B828" s="24"/>
      <c r="C828" s="24"/>
      <c r="D828" s="24"/>
      <c r="E828" s="24"/>
      <c r="F828" s="24"/>
      <c r="G828" s="24"/>
      <c r="H828" s="24"/>
      <c r="I828" s="24"/>
      <c r="J828" s="55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2.75" x14ac:dyDescent="0.2">
      <c r="A829" s="24"/>
      <c r="B829" s="24"/>
      <c r="C829" s="24"/>
      <c r="D829" s="24"/>
      <c r="E829" s="24"/>
      <c r="F829" s="24"/>
      <c r="G829" s="24"/>
      <c r="H829" s="24"/>
      <c r="I829" s="24"/>
      <c r="J829" s="55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2.75" x14ac:dyDescent="0.2">
      <c r="A830" s="24"/>
      <c r="B830" s="24"/>
      <c r="C830" s="24"/>
      <c r="D830" s="24"/>
      <c r="E830" s="24"/>
      <c r="F830" s="24"/>
      <c r="G830" s="24"/>
      <c r="H830" s="24"/>
      <c r="I830" s="24"/>
      <c r="J830" s="55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2.75" x14ac:dyDescent="0.2">
      <c r="A831" s="24"/>
      <c r="B831" s="24"/>
      <c r="C831" s="24"/>
      <c r="D831" s="24"/>
      <c r="E831" s="24"/>
      <c r="F831" s="24"/>
      <c r="G831" s="24"/>
      <c r="H831" s="24"/>
      <c r="I831" s="24"/>
      <c r="J831" s="55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2.75" x14ac:dyDescent="0.2">
      <c r="A832" s="24"/>
      <c r="B832" s="24"/>
      <c r="C832" s="24"/>
      <c r="D832" s="24"/>
      <c r="E832" s="24"/>
      <c r="F832" s="24"/>
      <c r="G832" s="24"/>
      <c r="H832" s="24"/>
      <c r="I832" s="24"/>
      <c r="J832" s="55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2.75" x14ac:dyDescent="0.2">
      <c r="A833" s="24"/>
      <c r="B833" s="24"/>
      <c r="C833" s="24"/>
      <c r="D833" s="24"/>
      <c r="E833" s="24"/>
      <c r="F833" s="24"/>
      <c r="G833" s="24"/>
      <c r="H833" s="24"/>
      <c r="I833" s="24"/>
      <c r="J833" s="55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2.75" x14ac:dyDescent="0.2">
      <c r="A834" s="24"/>
      <c r="B834" s="24"/>
      <c r="C834" s="24"/>
      <c r="D834" s="24"/>
      <c r="E834" s="24"/>
      <c r="F834" s="24"/>
      <c r="G834" s="24"/>
      <c r="H834" s="24"/>
      <c r="I834" s="24"/>
      <c r="J834" s="55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2.75" x14ac:dyDescent="0.2">
      <c r="A835" s="24"/>
      <c r="B835" s="24"/>
      <c r="C835" s="24"/>
      <c r="D835" s="24"/>
      <c r="E835" s="24"/>
      <c r="F835" s="24"/>
      <c r="G835" s="24"/>
      <c r="H835" s="24"/>
      <c r="I835" s="24"/>
      <c r="J835" s="55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2.75" x14ac:dyDescent="0.2">
      <c r="A836" s="24"/>
      <c r="B836" s="24"/>
      <c r="C836" s="24"/>
      <c r="D836" s="24"/>
      <c r="E836" s="24"/>
      <c r="F836" s="24"/>
      <c r="G836" s="24"/>
      <c r="H836" s="24"/>
      <c r="I836" s="24"/>
      <c r="J836" s="55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2.75" x14ac:dyDescent="0.2">
      <c r="A837" s="24"/>
      <c r="B837" s="24"/>
      <c r="C837" s="24"/>
      <c r="D837" s="24"/>
      <c r="E837" s="24"/>
      <c r="F837" s="24"/>
      <c r="G837" s="24"/>
      <c r="H837" s="24"/>
      <c r="I837" s="24"/>
      <c r="J837" s="55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2.75" x14ac:dyDescent="0.2">
      <c r="A838" s="24"/>
      <c r="B838" s="24"/>
      <c r="C838" s="24"/>
      <c r="D838" s="24"/>
      <c r="E838" s="24"/>
      <c r="F838" s="24"/>
      <c r="G838" s="24"/>
      <c r="H838" s="24"/>
      <c r="I838" s="24"/>
      <c r="J838" s="55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2.75" x14ac:dyDescent="0.2">
      <c r="A839" s="24"/>
      <c r="B839" s="24"/>
      <c r="C839" s="24"/>
      <c r="D839" s="24"/>
      <c r="E839" s="24"/>
      <c r="F839" s="24"/>
      <c r="G839" s="24"/>
      <c r="H839" s="24"/>
      <c r="I839" s="24"/>
      <c r="J839" s="55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2.75" x14ac:dyDescent="0.2">
      <c r="A840" s="24"/>
      <c r="B840" s="24"/>
      <c r="C840" s="24"/>
      <c r="D840" s="24"/>
      <c r="E840" s="24"/>
      <c r="F840" s="24"/>
      <c r="G840" s="24"/>
      <c r="H840" s="24"/>
      <c r="I840" s="24"/>
      <c r="J840" s="55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2.75" x14ac:dyDescent="0.2">
      <c r="A841" s="24"/>
      <c r="B841" s="24"/>
      <c r="C841" s="24"/>
      <c r="D841" s="24"/>
      <c r="E841" s="24"/>
      <c r="F841" s="24"/>
      <c r="G841" s="24"/>
      <c r="H841" s="24"/>
      <c r="I841" s="24"/>
      <c r="J841" s="55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2.75" x14ac:dyDescent="0.2">
      <c r="A842" s="24"/>
      <c r="B842" s="24"/>
      <c r="C842" s="24"/>
      <c r="D842" s="24"/>
      <c r="E842" s="24"/>
      <c r="F842" s="24"/>
      <c r="G842" s="24"/>
      <c r="H842" s="24"/>
      <c r="I842" s="24"/>
      <c r="J842" s="55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2.75" x14ac:dyDescent="0.2">
      <c r="A843" s="24"/>
      <c r="B843" s="24"/>
      <c r="C843" s="24"/>
      <c r="D843" s="24"/>
      <c r="E843" s="24"/>
      <c r="F843" s="24"/>
      <c r="G843" s="24"/>
      <c r="H843" s="24"/>
      <c r="I843" s="24"/>
      <c r="J843" s="55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2.75" x14ac:dyDescent="0.2">
      <c r="A844" s="24"/>
      <c r="B844" s="24"/>
      <c r="C844" s="24"/>
      <c r="D844" s="24"/>
      <c r="E844" s="24"/>
      <c r="F844" s="24"/>
      <c r="G844" s="24"/>
      <c r="H844" s="24"/>
      <c r="I844" s="24"/>
      <c r="J844" s="55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2.75" x14ac:dyDescent="0.2">
      <c r="A845" s="24"/>
      <c r="B845" s="24"/>
      <c r="C845" s="24"/>
      <c r="D845" s="24"/>
      <c r="E845" s="24"/>
      <c r="F845" s="24"/>
      <c r="G845" s="24"/>
      <c r="H845" s="24"/>
      <c r="I845" s="24"/>
      <c r="J845" s="55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2.75" x14ac:dyDescent="0.2">
      <c r="A846" s="24"/>
      <c r="B846" s="24"/>
      <c r="C846" s="24"/>
      <c r="D846" s="24"/>
      <c r="E846" s="24"/>
      <c r="F846" s="24"/>
      <c r="G846" s="24"/>
      <c r="H846" s="24"/>
      <c r="I846" s="24"/>
      <c r="J846" s="55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2.75" x14ac:dyDescent="0.2">
      <c r="A847" s="24"/>
      <c r="B847" s="24"/>
      <c r="C847" s="24"/>
      <c r="D847" s="24"/>
      <c r="E847" s="24"/>
      <c r="F847" s="24"/>
      <c r="G847" s="24"/>
      <c r="H847" s="24"/>
      <c r="I847" s="24"/>
      <c r="J847" s="55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2.75" x14ac:dyDescent="0.2">
      <c r="A848" s="24"/>
      <c r="B848" s="24"/>
      <c r="C848" s="24"/>
      <c r="D848" s="24"/>
      <c r="E848" s="24"/>
      <c r="F848" s="24"/>
      <c r="G848" s="24"/>
      <c r="H848" s="24"/>
      <c r="I848" s="24"/>
      <c r="J848" s="55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2.75" x14ac:dyDescent="0.2">
      <c r="A849" s="24"/>
      <c r="B849" s="24"/>
      <c r="C849" s="24"/>
      <c r="D849" s="24"/>
      <c r="E849" s="24"/>
      <c r="F849" s="24"/>
      <c r="G849" s="24"/>
      <c r="H849" s="24"/>
      <c r="I849" s="24"/>
      <c r="J849" s="55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2.75" x14ac:dyDescent="0.2">
      <c r="A850" s="24"/>
      <c r="B850" s="24"/>
      <c r="C850" s="24"/>
      <c r="D850" s="24"/>
      <c r="E850" s="24"/>
      <c r="F850" s="24"/>
      <c r="G850" s="24"/>
      <c r="H850" s="24"/>
      <c r="I850" s="24"/>
      <c r="J850" s="55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2.75" x14ac:dyDescent="0.2">
      <c r="A851" s="24"/>
      <c r="B851" s="24"/>
      <c r="C851" s="24"/>
      <c r="D851" s="24"/>
      <c r="E851" s="24"/>
      <c r="F851" s="24"/>
      <c r="G851" s="24"/>
      <c r="H851" s="24"/>
      <c r="I851" s="24"/>
      <c r="J851" s="55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2.75" x14ac:dyDescent="0.2">
      <c r="A852" s="24"/>
      <c r="B852" s="24"/>
      <c r="C852" s="24"/>
      <c r="D852" s="24"/>
      <c r="E852" s="24"/>
      <c r="F852" s="24"/>
      <c r="G852" s="24"/>
      <c r="H852" s="24"/>
      <c r="I852" s="24"/>
      <c r="J852" s="55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2.75" x14ac:dyDescent="0.2">
      <c r="A853" s="24"/>
      <c r="B853" s="24"/>
      <c r="C853" s="24"/>
      <c r="D853" s="24"/>
      <c r="E853" s="24"/>
      <c r="F853" s="24"/>
      <c r="G853" s="24"/>
      <c r="H853" s="24"/>
      <c r="I853" s="24"/>
      <c r="J853" s="55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2.75" x14ac:dyDescent="0.2">
      <c r="A854" s="24"/>
      <c r="B854" s="24"/>
      <c r="C854" s="24"/>
      <c r="D854" s="24"/>
      <c r="E854" s="24"/>
      <c r="F854" s="24"/>
      <c r="G854" s="24"/>
      <c r="H854" s="24"/>
      <c r="I854" s="24"/>
      <c r="J854" s="55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2.75" x14ac:dyDescent="0.2">
      <c r="A855" s="24"/>
      <c r="B855" s="24"/>
      <c r="C855" s="24"/>
      <c r="D855" s="24"/>
      <c r="E855" s="24"/>
      <c r="F855" s="24"/>
      <c r="G855" s="24"/>
      <c r="H855" s="24"/>
      <c r="I855" s="24"/>
      <c r="J855" s="55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2.75" x14ac:dyDescent="0.2">
      <c r="A856" s="24"/>
      <c r="B856" s="24"/>
      <c r="C856" s="24"/>
      <c r="D856" s="24"/>
      <c r="E856" s="24"/>
      <c r="F856" s="24"/>
      <c r="G856" s="24"/>
      <c r="H856" s="24"/>
      <c r="I856" s="24"/>
      <c r="J856" s="55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2.75" x14ac:dyDescent="0.2">
      <c r="A857" s="24"/>
      <c r="B857" s="24"/>
      <c r="C857" s="24"/>
      <c r="D857" s="24"/>
      <c r="E857" s="24"/>
      <c r="F857" s="24"/>
      <c r="G857" s="24"/>
      <c r="H857" s="24"/>
      <c r="I857" s="24"/>
      <c r="J857" s="55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2.75" x14ac:dyDescent="0.2">
      <c r="A858" s="24"/>
      <c r="B858" s="24"/>
      <c r="C858" s="24"/>
      <c r="D858" s="24"/>
      <c r="E858" s="24"/>
      <c r="F858" s="24"/>
      <c r="G858" s="24"/>
      <c r="H858" s="24"/>
      <c r="I858" s="24"/>
      <c r="J858" s="55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2.75" x14ac:dyDescent="0.2">
      <c r="A859" s="24"/>
      <c r="B859" s="24"/>
      <c r="C859" s="24"/>
      <c r="D859" s="24"/>
      <c r="E859" s="24"/>
      <c r="F859" s="24"/>
      <c r="G859" s="24"/>
      <c r="H859" s="24"/>
      <c r="I859" s="24"/>
      <c r="J859" s="55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2.75" x14ac:dyDescent="0.2">
      <c r="A860" s="24"/>
      <c r="B860" s="24"/>
      <c r="C860" s="24"/>
      <c r="D860" s="24"/>
      <c r="E860" s="24"/>
      <c r="F860" s="24"/>
      <c r="G860" s="24"/>
      <c r="H860" s="24"/>
      <c r="I860" s="24"/>
      <c r="J860" s="55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2.75" x14ac:dyDescent="0.2">
      <c r="A861" s="24"/>
      <c r="B861" s="24"/>
      <c r="C861" s="24"/>
      <c r="D861" s="24"/>
      <c r="E861" s="24"/>
      <c r="F861" s="24"/>
      <c r="G861" s="24"/>
      <c r="H861" s="24"/>
      <c r="I861" s="24"/>
      <c r="J861" s="55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2.75" x14ac:dyDescent="0.2">
      <c r="A862" s="24"/>
      <c r="B862" s="24"/>
      <c r="C862" s="24"/>
      <c r="D862" s="24"/>
      <c r="E862" s="24"/>
      <c r="F862" s="24"/>
      <c r="G862" s="24"/>
      <c r="H862" s="24"/>
      <c r="I862" s="24"/>
      <c r="J862" s="55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2.75" x14ac:dyDescent="0.2">
      <c r="A863" s="24"/>
      <c r="B863" s="24"/>
      <c r="C863" s="24"/>
      <c r="D863" s="24"/>
      <c r="E863" s="24"/>
      <c r="F863" s="24"/>
      <c r="G863" s="24"/>
      <c r="H863" s="24"/>
      <c r="I863" s="24"/>
      <c r="J863" s="55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2.75" x14ac:dyDescent="0.2">
      <c r="A864" s="24"/>
      <c r="B864" s="24"/>
      <c r="C864" s="24"/>
      <c r="D864" s="24"/>
      <c r="E864" s="24"/>
      <c r="F864" s="24"/>
      <c r="G864" s="24"/>
      <c r="H864" s="24"/>
      <c r="I864" s="24"/>
      <c r="J864" s="55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2.75" x14ac:dyDescent="0.2">
      <c r="A865" s="24"/>
      <c r="B865" s="24"/>
      <c r="C865" s="24"/>
      <c r="D865" s="24"/>
      <c r="E865" s="24"/>
      <c r="F865" s="24"/>
      <c r="G865" s="24"/>
      <c r="H865" s="24"/>
      <c r="I865" s="24"/>
      <c r="J865" s="55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2.75" x14ac:dyDescent="0.2">
      <c r="A866" s="24"/>
      <c r="B866" s="24"/>
      <c r="C866" s="24"/>
      <c r="D866" s="24"/>
      <c r="E866" s="24"/>
      <c r="F866" s="24"/>
      <c r="G866" s="24"/>
      <c r="H866" s="24"/>
      <c r="I866" s="24"/>
      <c r="J866" s="55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2.75" x14ac:dyDescent="0.2">
      <c r="A867" s="24"/>
      <c r="B867" s="24"/>
      <c r="C867" s="24"/>
      <c r="D867" s="24"/>
      <c r="E867" s="24"/>
      <c r="F867" s="24"/>
      <c r="G867" s="24"/>
      <c r="H867" s="24"/>
      <c r="I867" s="24"/>
      <c r="J867" s="55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2.75" x14ac:dyDescent="0.2">
      <c r="A868" s="24"/>
      <c r="B868" s="24"/>
      <c r="C868" s="24"/>
      <c r="D868" s="24"/>
      <c r="E868" s="24"/>
      <c r="F868" s="24"/>
      <c r="G868" s="24"/>
      <c r="H868" s="24"/>
      <c r="I868" s="24"/>
      <c r="J868" s="55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2.75" x14ac:dyDescent="0.2">
      <c r="A869" s="24"/>
      <c r="B869" s="24"/>
      <c r="C869" s="24"/>
      <c r="D869" s="24"/>
      <c r="E869" s="24"/>
      <c r="F869" s="24"/>
      <c r="G869" s="24"/>
      <c r="H869" s="24"/>
      <c r="I869" s="24"/>
      <c r="J869" s="55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2.75" x14ac:dyDescent="0.2">
      <c r="A870" s="24"/>
      <c r="B870" s="24"/>
      <c r="C870" s="24"/>
      <c r="D870" s="24"/>
      <c r="E870" s="24"/>
      <c r="F870" s="24"/>
      <c r="G870" s="24"/>
      <c r="H870" s="24"/>
      <c r="I870" s="24"/>
      <c r="J870" s="55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2.75" x14ac:dyDescent="0.2">
      <c r="A871" s="24"/>
      <c r="B871" s="24"/>
      <c r="C871" s="24"/>
      <c r="D871" s="24"/>
      <c r="E871" s="24"/>
      <c r="F871" s="24"/>
      <c r="G871" s="24"/>
      <c r="H871" s="24"/>
      <c r="I871" s="24"/>
      <c r="J871" s="55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2.75" x14ac:dyDescent="0.2">
      <c r="A872" s="24"/>
      <c r="B872" s="24"/>
      <c r="C872" s="24"/>
      <c r="D872" s="24"/>
      <c r="E872" s="24"/>
      <c r="F872" s="24"/>
      <c r="G872" s="24"/>
      <c r="H872" s="24"/>
      <c r="I872" s="24"/>
      <c r="J872" s="55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2.75" x14ac:dyDescent="0.2">
      <c r="A873" s="24"/>
      <c r="B873" s="24"/>
      <c r="C873" s="24"/>
      <c r="D873" s="24"/>
      <c r="E873" s="24"/>
      <c r="F873" s="24"/>
      <c r="G873" s="24"/>
      <c r="H873" s="24"/>
      <c r="I873" s="24"/>
      <c r="J873" s="55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2.75" x14ac:dyDescent="0.2">
      <c r="A874" s="24"/>
      <c r="B874" s="24"/>
      <c r="C874" s="24"/>
      <c r="D874" s="24"/>
      <c r="E874" s="24"/>
      <c r="F874" s="24"/>
      <c r="G874" s="24"/>
      <c r="H874" s="24"/>
      <c r="I874" s="24"/>
      <c r="J874" s="55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2.75" x14ac:dyDescent="0.2">
      <c r="A875" s="24"/>
      <c r="B875" s="24"/>
      <c r="C875" s="24"/>
      <c r="D875" s="24"/>
      <c r="E875" s="24"/>
      <c r="F875" s="24"/>
      <c r="G875" s="24"/>
      <c r="H875" s="24"/>
      <c r="I875" s="24"/>
      <c r="J875" s="55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2.75" x14ac:dyDescent="0.2">
      <c r="A876" s="24"/>
      <c r="B876" s="24"/>
      <c r="C876" s="24"/>
      <c r="D876" s="24"/>
      <c r="E876" s="24"/>
      <c r="F876" s="24"/>
      <c r="G876" s="24"/>
      <c r="H876" s="24"/>
      <c r="I876" s="24"/>
      <c r="J876" s="55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2.75" x14ac:dyDescent="0.2">
      <c r="A877" s="24"/>
      <c r="B877" s="24"/>
      <c r="C877" s="24"/>
      <c r="D877" s="24"/>
      <c r="E877" s="24"/>
      <c r="F877" s="24"/>
      <c r="G877" s="24"/>
      <c r="H877" s="24"/>
      <c r="I877" s="24"/>
      <c r="J877" s="55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2.75" x14ac:dyDescent="0.2">
      <c r="A878" s="24"/>
      <c r="B878" s="24"/>
      <c r="C878" s="24"/>
      <c r="D878" s="24"/>
      <c r="E878" s="24"/>
      <c r="F878" s="24"/>
      <c r="G878" s="24"/>
      <c r="H878" s="24"/>
      <c r="I878" s="24"/>
      <c r="J878" s="55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2.75" x14ac:dyDescent="0.2">
      <c r="A879" s="24"/>
      <c r="B879" s="24"/>
      <c r="C879" s="24"/>
      <c r="D879" s="24"/>
      <c r="E879" s="24"/>
      <c r="F879" s="24"/>
      <c r="G879" s="24"/>
      <c r="H879" s="24"/>
      <c r="I879" s="24"/>
      <c r="J879" s="55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2.75" x14ac:dyDescent="0.2">
      <c r="A880" s="24"/>
      <c r="B880" s="24"/>
      <c r="C880" s="24"/>
      <c r="D880" s="24"/>
      <c r="E880" s="24"/>
      <c r="F880" s="24"/>
      <c r="G880" s="24"/>
      <c r="H880" s="24"/>
      <c r="I880" s="24"/>
      <c r="J880" s="55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2.75" x14ac:dyDescent="0.2">
      <c r="A881" s="24"/>
      <c r="B881" s="24"/>
      <c r="C881" s="24"/>
      <c r="D881" s="24"/>
      <c r="E881" s="24"/>
      <c r="F881" s="24"/>
      <c r="G881" s="24"/>
      <c r="H881" s="24"/>
      <c r="I881" s="24"/>
      <c r="J881" s="55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2.75" x14ac:dyDescent="0.2">
      <c r="A882" s="24"/>
      <c r="B882" s="24"/>
      <c r="C882" s="24"/>
      <c r="D882" s="24"/>
      <c r="E882" s="24"/>
      <c r="F882" s="24"/>
      <c r="G882" s="24"/>
      <c r="H882" s="24"/>
      <c r="I882" s="24"/>
      <c r="J882" s="55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2.75" x14ac:dyDescent="0.2">
      <c r="A883" s="24"/>
      <c r="B883" s="24"/>
      <c r="C883" s="24"/>
      <c r="D883" s="24"/>
      <c r="E883" s="24"/>
      <c r="F883" s="24"/>
      <c r="G883" s="24"/>
      <c r="H883" s="24"/>
      <c r="I883" s="24"/>
      <c r="J883" s="55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2.75" x14ac:dyDescent="0.2">
      <c r="A884" s="24"/>
      <c r="B884" s="24"/>
      <c r="C884" s="24"/>
      <c r="D884" s="24"/>
      <c r="E884" s="24"/>
      <c r="F884" s="24"/>
      <c r="G884" s="24"/>
      <c r="H884" s="24"/>
      <c r="I884" s="24"/>
      <c r="J884" s="55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2.75" x14ac:dyDescent="0.2">
      <c r="A885" s="24"/>
      <c r="B885" s="24"/>
      <c r="C885" s="24"/>
      <c r="D885" s="24"/>
      <c r="E885" s="24"/>
      <c r="F885" s="24"/>
      <c r="G885" s="24"/>
      <c r="H885" s="24"/>
      <c r="I885" s="24"/>
      <c r="J885" s="55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2.75" x14ac:dyDescent="0.2">
      <c r="A886" s="24"/>
      <c r="B886" s="24"/>
      <c r="C886" s="24"/>
      <c r="D886" s="24"/>
      <c r="E886" s="24"/>
      <c r="F886" s="24"/>
      <c r="G886" s="24"/>
      <c r="H886" s="24"/>
      <c r="I886" s="24"/>
      <c r="J886" s="55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2.75" x14ac:dyDescent="0.2">
      <c r="A887" s="24"/>
      <c r="B887" s="24"/>
      <c r="C887" s="24"/>
      <c r="D887" s="24"/>
      <c r="E887" s="24"/>
      <c r="F887" s="24"/>
      <c r="G887" s="24"/>
      <c r="H887" s="24"/>
      <c r="I887" s="24"/>
      <c r="J887" s="55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2.75" x14ac:dyDescent="0.2">
      <c r="A888" s="24"/>
      <c r="B888" s="24"/>
      <c r="C888" s="24"/>
      <c r="D888" s="24"/>
      <c r="E888" s="24"/>
      <c r="F888" s="24"/>
      <c r="G888" s="24"/>
      <c r="H888" s="24"/>
      <c r="I888" s="24"/>
      <c r="J888" s="55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2.75" x14ac:dyDescent="0.2">
      <c r="A889" s="24"/>
      <c r="B889" s="24"/>
      <c r="C889" s="24"/>
      <c r="D889" s="24"/>
      <c r="E889" s="24"/>
      <c r="F889" s="24"/>
      <c r="G889" s="24"/>
      <c r="H889" s="24"/>
      <c r="I889" s="24"/>
      <c r="J889" s="55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2.75" x14ac:dyDescent="0.2">
      <c r="A890" s="24"/>
      <c r="B890" s="24"/>
      <c r="C890" s="24"/>
      <c r="D890" s="24"/>
      <c r="E890" s="24"/>
      <c r="F890" s="24"/>
      <c r="G890" s="24"/>
      <c r="H890" s="24"/>
      <c r="I890" s="24"/>
      <c r="J890" s="55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2.75" x14ac:dyDescent="0.2">
      <c r="A891" s="24"/>
      <c r="B891" s="24"/>
      <c r="C891" s="24"/>
      <c r="D891" s="24"/>
      <c r="E891" s="24"/>
      <c r="F891" s="24"/>
      <c r="G891" s="24"/>
      <c r="H891" s="24"/>
      <c r="I891" s="24"/>
      <c r="J891" s="55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2.75" x14ac:dyDescent="0.2">
      <c r="A892" s="24"/>
      <c r="B892" s="24"/>
      <c r="C892" s="24"/>
      <c r="D892" s="24"/>
      <c r="E892" s="24"/>
      <c r="F892" s="24"/>
      <c r="G892" s="24"/>
      <c r="H892" s="24"/>
      <c r="I892" s="24"/>
      <c r="J892" s="55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2.75" x14ac:dyDescent="0.2">
      <c r="A893" s="24"/>
      <c r="B893" s="24"/>
      <c r="C893" s="24"/>
      <c r="D893" s="24"/>
      <c r="E893" s="24"/>
      <c r="F893" s="24"/>
      <c r="G893" s="24"/>
      <c r="H893" s="24"/>
      <c r="I893" s="24"/>
      <c r="J893" s="55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2.75" x14ac:dyDescent="0.2">
      <c r="A894" s="24"/>
      <c r="B894" s="24"/>
      <c r="C894" s="24"/>
      <c r="D894" s="24"/>
      <c r="E894" s="24"/>
      <c r="F894" s="24"/>
      <c r="G894" s="24"/>
      <c r="H894" s="24"/>
      <c r="I894" s="24"/>
      <c r="J894" s="55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2.75" x14ac:dyDescent="0.2">
      <c r="A895" s="24"/>
      <c r="B895" s="24"/>
      <c r="C895" s="24"/>
      <c r="D895" s="24"/>
      <c r="E895" s="24"/>
      <c r="F895" s="24"/>
      <c r="G895" s="24"/>
      <c r="H895" s="24"/>
      <c r="I895" s="24"/>
      <c r="J895" s="55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2.75" x14ac:dyDescent="0.2">
      <c r="A896" s="24"/>
      <c r="B896" s="24"/>
      <c r="C896" s="24"/>
      <c r="D896" s="24"/>
      <c r="E896" s="24"/>
      <c r="F896" s="24"/>
      <c r="G896" s="24"/>
      <c r="H896" s="24"/>
      <c r="I896" s="24"/>
      <c r="J896" s="55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ht="12.75" x14ac:dyDescent="0.2">
      <c r="A897" s="24"/>
      <c r="B897" s="24"/>
      <c r="C897" s="24"/>
      <c r="D897" s="24"/>
      <c r="E897" s="24"/>
      <c r="F897" s="24"/>
      <c r="G897" s="24"/>
      <c r="H897" s="24"/>
      <c r="I897" s="24"/>
      <c r="J897" s="55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ht="12.75" x14ac:dyDescent="0.2">
      <c r="A898" s="24"/>
      <c r="B898" s="24"/>
      <c r="C898" s="24"/>
      <c r="D898" s="24"/>
      <c r="E898" s="24"/>
      <c r="F898" s="24"/>
      <c r="G898" s="24"/>
      <c r="H898" s="24"/>
      <c r="I898" s="24"/>
      <c r="J898" s="55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ht="12.75" x14ac:dyDescent="0.2">
      <c r="A899" s="24"/>
      <c r="B899" s="24"/>
      <c r="C899" s="24"/>
      <c r="D899" s="24"/>
      <c r="E899" s="24"/>
      <c r="F899" s="24"/>
      <c r="G899" s="24"/>
      <c r="H899" s="24"/>
      <c r="I899" s="24"/>
      <c r="J899" s="55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ht="12.75" x14ac:dyDescent="0.2">
      <c r="A900" s="24"/>
      <c r="B900" s="24"/>
      <c r="C900" s="24"/>
      <c r="D900" s="24"/>
      <c r="E900" s="24"/>
      <c r="F900" s="24"/>
      <c r="G900" s="24"/>
      <c r="H900" s="24"/>
      <c r="I900" s="24"/>
      <c r="J900" s="55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ht="12.75" x14ac:dyDescent="0.2">
      <c r="A901" s="24"/>
      <c r="B901" s="24"/>
      <c r="C901" s="24"/>
      <c r="D901" s="24"/>
      <c r="E901" s="24"/>
      <c r="F901" s="24"/>
      <c r="G901" s="24"/>
      <c r="H901" s="24"/>
      <c r="I901" s="24"/>
      <c r="J901" s="55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ht="12.75" x14ac:dyDescent="0.2">
      <c r="A902" s="24"/>
      <c r="B902" s="24"/>
      <c r="C902" s="24"/>
      <c r="D902" s="24"/>
      <c r="E902" s="24"/>
      <c r="F902" s="24"/>
      <c r="G902" s="24"/>
      <c r="H902" s="24"/>
      <c r="I902" s="24"/>
      <c r="J902" s="55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ht="12.75" x14ac:dyDescent="0.2">
      <c r="A903" s="24"/>
      <c r="B903" s="24"/>
      <c r="C903" s="24"/>
      <c r="D903" s="24"/>
      <c r="E903" s="24"/>
      <c r="F903" s="24"/>
      <c r="G903" s="24"/>
      <c r="H903" s="24"/>
      <c r="I903" s="24"/>
      <c r="J903" s="55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ht="12.75" x14ac:dyDescent="0.2">
      <c r="A904" s="24"/>
      <c r="B904" s="24"/>
      <c r="C904" s="24"/>
      <c r="D904" s="24"/>
      <c r="E904" s="24"/>
      <c r="F904" s="24"/>
      <c r="G904" s="24"/>
      <c r="H904" s="24"/>
      <c r="I904" s="24"/>
      <c r="J904" s="55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ht="12.75" x14ac:dyDescent="0.2">
      <c r="A905" s="24"/>
      <c r="B905" s="24"/>
      <c r="C905" s="24"/>
      <c r="D905" s="24"/>
      <c r="E905" s="24"/>
      <c r="F905" s="24"/>
      <c r="G905" s="24"/>
      <c r="H905" s="24"/>
      <c r="I905" s="24"/>
      <c r="J905" s="55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ht="12.75" x14ac:dyDescent="0.2">
      <c r="A906" s="24"/>
      <c r="B906" s="24"/>
      <c r="C906" s="24"/>
      <c r="D906" s="24"/>
      <c r="E906" s="24"/>
      <c r="F906" s="24"/>
      <c r="G906" s="24"/>
      <c r="H906" s="24"/>
      <c r="I906" s="24"/>
      <c r="J906" s="55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ht="12.75" x14ac:dyDescent="0.2">
      <c r="A907" s="24"/>
      <c r="B907" s="24"/>
      <c r="C907" s="24"/>
      <c r="D907" s="24"/>
      <c r="E907" s="24"/>
      <c r="F907" s="24"/>
      <c r="G907" s="24"/>
      <c r="H907" s="24"/>
      <c r="I907" s="24"/>
      <c r="J907" s="55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ht="12.75" x14ac:dyDescent="0.2">
      <c r="A908" s="24"/>
      <c r="B908" s="24"/>
      <c r="C908" s="24"/>
      <c r="D908" s="24"/>
      <c r="E908" s="24"/>
      <c r="F908" s="24"/>
      <c r="G908" s="24"/>
      <c r="H908" s="24"/>
      <c r="I908" s="24"/>
      <c r="J908" s="55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ht="12.75" x14ac:dyDescent="0.2">
      <c r="A909" s="24"/>
      <c r="B909" s="24"/>
      <c r="C909" s="24"/>
      <c r="D909" s="24"/>
      <c r="E909" s="24"/>
      <c r="F909" s="24"/>
      <c r="G909" s="24"/>
      <c r="H909" s="24"/>
      <c r="I909" s="24"/>
      <c r="J909" s="55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ht="12.75" x14ac:dyDescent="0.2">
      <c r="A910" s="24"/>
      <c r="B910" s="24"/>
      <c r="C910" s="24"/>
      <c r="D910" s="24"/>
      <c r="E910" s="24"/>
      <c r="F910" s="24"/>
      <c r="G910" s="24"/>
      <c r="H910" s="24"/>
      <c r="I910" s="24"/>
      <c r="J910" s="55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ht="12.75" x14ac:dyDescent="0.2">
      <c r="A911" s="24"/>
      <c r="B911" s="24"/>
      <c r="C911" s="24"/>
      <c r="D911" s="24"/>
      <c r="E911" s="24"/>
      <c r="F911" s="24"/>
      <c r="G911" s="24"/>
      <c r="H911" s="24"/>
      <c r="I911" s="24"/>
      <c r="J911" s="55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ht="12.75" x14ac:dyDescent="0.2">
      <c r="A912" s="24"/>
      <c r="B912" s="24"/>
      <c r="C912" s="24"/>
      <c r="D912" s="24"/>
      <c r="E912" s="24"/>
      <c r="F912" s="24"/>
      <c r="G912" s="24"/>
      <c r="H912" s="24"/>
      <c r="I912" s="24"/>
      <c r="J912" s="55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ht="12.75" x14ac:dyDescent="0.2">
      <c r="A913" s="24"/>
      <c r="B913" s="24"/>
      <c r="C913" s="24"/>
      <c r="D913" s="24"/>
      <c r="E913" s="24"/>
      <c r="F913" s="24"/>
      <c r="G913" s="24"/>
      <c r="H913" s="24"/>
      <c r="I913" s="24"/>
      <c r="J913" s="55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ht="12.75" x14ac:dyDescent="0.2">
      <c r="A914" s="24"/>
      <c r="B914" s="24"/>
      <c r="C914" s="24"/>
      <c r="D914" s="24"/>
      <c r="E914" s="24"/>
      <c r="F914" s="24"/>
      <c r="G914" s="24"/>
      <c r="H914" s="24"/>
      <c r="I914" s="24"/>
      <c r="J914" s="55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ht="12.75" x14ac:dyDescent="0.2">
      <c r="A915" s="24"/>
      <c r="B915" s="24"/>
      <c r="C915" s="24"/>
      <c r="D915" s="24"/>
      <c r="E915" s="24"/>
      <c r="F915" s="24"/>
      <c r="G915" s="24"/>
      <c r="H915" s="24"/>
      <c r="I915" s="24"/>
      <c r="J915" s="55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ht="12.75" x14ac:dyDescent="0.2">
      <c r="A916" s="24"/>
      <c r="B916" s="24"/>
      <c r="C916" s="24"/>
      <c r="D916" s="24"/>
      <c r="E916" s="24"/>
      <c r="F916" s="24"/>
      <c r="G916" s="24"/>
      <c r="H916" s="24"/>
      <c r="I916" s="24"/>
      <c r="J916" s="55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ht="12.75" x14ac:dyDescent="0.2">
      <c r="A917" s="24"/>
      <c r="B917" s="24"/>
      <c r="C917" s="24"/>
      <c r="D917" s="24"/>
      <c r="E917" s="24"/>
      <c r="F917" s="24"/>
      <c r="G917" s="24"/>
      <c r="H917" s="24"/>
      <c r="I917" s="24"/>
      <c r="J917" s="55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ht="12.75" x14ac:dyDescent="0.2">
      <c r="A918" s="24"/>
      <c r="B918" s="24"/>
      <c r="C918" s="24"/>
      <c r="D918" s="24"/>
      <c r="E918" s="24"/>
      <c r="F918" s="24"/>
      <c r="G918" s="24"/>
      <c r="H918" s="24"/>
      <c r="I918" s="24"/>
      <c r="J918" s="55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ht="12.75" x14ac:dyDescent="0.2">
      <c r="A919" s="24"/>
      <c r="B919" s="24"/>
      <c r="C919" s="24"/>
      <c r="D919" s="24"/>
      <c r="E919" s="24"/>
      <c r="F919" s="24"/>
      <c r="G919" s="24"/>
      <c r="H919" s="24"/>
      <c r="I919" s="24"/>
      <c r="J919" s="55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ht="12.75" x14ac:dyDescent="0.2">
      <c r="A920" s="24"/>
      <c r="B920" s="24"/>
      <c r="C920" s="24"/>
      <c r="D920" s="24"/>
      <c r="E920" s="24"/>
      <c r="F920" s="24"/>
      <c r="G920" s="24"/>
      <c r="H920" s="24"/>
      <c r="I920" s="24"/>
      <c r="J920" s="55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ht="12.75" x14ac:dyDescent="0.2">
      <c r="A921" s="24"/>
      <c r="B921" s="24"/>
      <c r="C921" s="24"/>
      <c r="D921" s="24"/>
      <c r="E921" s="24"/>
      <c r="F921" s="24"/>
      <c r="G921" s="24"/>
      <c r="H921" s="24"/>
      <c r="I921" s="24"/>
      <c r="J921" s="55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ht="12.75" x14ac:dyDescent="0.2">
      <c r="A922" s="24"/>
      <c r="B922" s="24"/>
      <c r="C922" s="24"/>
      <c r="D922" s="24"/>
      <c r="E922" s="24"/>
      <c r="F922" s="24"/>
      <c r="G922" s="24"/>
      <c r="H922" s="24"/>
      <c r="I922" s="24"/>
      <c r="J922" s="55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ht="12.75" x14ac:dyDescent="0.2">
      <c r="A923" s="24"/>
      <c r="B923" s="24"/>
      <c r="C923" s="24"/>
      <c r="D923" s="24"/>
      <c r="E923" s="24"/>
      <c r="F923" s="24"/>
      <c r="G923" s="24"/>
      <c r="H923" s="24"/>
      <c r="I923" s="24"/>
      <c r="J923" s="55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ht="12.75" x14ac:dyDescent="0.2">
      <c r="A924" s="24"/>
      <c r="B924" s="24"/>
      <c r="C924" s="24"/>
      <c r="D924" s="24"/>
      <c r="E924" s="24"/>
      <c r="F924" s="24"/>
      <c r="G924" s="24"/>
      <c r="H924" s="24"/>
      <c r="I924" s="24"/>
      <c r="J924" s="55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ht="12.75" x14ac:dyDescent="0.2">
      <c r="A925" s="24"/>
      <c r="B925" s="24"/>
      <c r="C925" s="24"/>
      <c r="D925" s="24"/>
      <c r="E925" s="24"/>
      <c r="F925" s="24"/>
      <c r="G925" s="24"/>
      <c r="H925" s="24"/>
      <c r="I925" s="24"/>
      <c r="J925" s="55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ht="12.75" x14ac:dyDescent="0.2">
      <c r="A926" s="24"/>
      <c r="B926" s="24"/>
      <c r="C926" s="24"/>
      <c r="D926" s="24"/>
      <c r="E926" s="24"/>
      <c r="F926" s="24"/>
      <c r="G926" s="24"/>
      <c r="H926" s="24"/>
      <c r="I926" s="24"/>
      <c r="J926" s="55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ht="12.75" x14ac:dyDescent="0.2">
      <c r="A927" s="24"/>
      <c r="B927" s="24"/>
      <c r="C927" s="24"/>
      <c r="D927" s="24"/>
      <c r="E927" s="24"/>
      <c r="F927" s="24"/>
      <c r="G927" s="24"/>
      <c r="H927" s="24"/>
      <c r="I927" s="24"/>
      <c r="J927" s="55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ht="12.75" x14ac:dyDescent="0.2">
      <c r="A928" s="24"/>
      <c r="B928" s="24"/>
      <c r="C928" s="24"/>
      <c r="D928" s="24"/>
      <c r="E928" s="24"/>
      <c r="F928" s="24"/>
      <c r="G928" s="24"/>
      <c r="H928" s="24"/>
      <c r="I928" s="24"/>
      <c r="J928" s="55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ht="12.75" x14ac:dyDescent="0.2">
      <c r="A929" s="24"/>
      <c r="B929" s="24"/>
      <c r="C929" s="24"/>
      <c r="D929" s="24"/>
      <c r="E929" s="24"/>
      <c r="F929" s="24"/>
      <c r="G929" s="24"/>
      <c r="H929" s="24"/>
      <c r="I929" s="24"/>
      <c r="J929" s="55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ht="12.75" x14ac:dyDescent="0.2">
      <c r="A930" s="24"/>
      <c r="B930" s="24"/>
      <c r="C930" s="24"/>
      <c r="D930" s="24"/>
      <c r="E930" s="24"/>
      <c r="F930" s="24"/>
      <c r="G930" s="24"/>
      <c r="H930" s="24"/>
      <c r="I930" s="24"/>
      <c r="J930" s="55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ht="12.75" x14ac:dyDescent="0.2">
      <c r="A931" s="24"/>
      <c r="B931" s="24"/>
      <c r="C931" s="24"/>
      <c r="D931" s="24"/>
      <c r="E931" s="24"/>
      <c r="F931" s="24"/>
      <c r="G931" s="24"/>
      <c r="H931" s="24"/>
      <c r="I931" s="24"/>
      <c r="J931" s="55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ht="12.75" x14ac:dyDescent="0.2">
      <c r="A932" s="24"/>
      <c r="B932" s="24"/>
      <c r="C932" s="24"/>
      <c r="D932" s="24"/>
      <c r="E932" s="24"/>
      <c r="F932" s="24"/>
      <c r="G932" s="24"/>
      <c r="H932" s="24"/>
      <c r="I932" s="24"/>
      <c r="J932" s="55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ht="12.75" x14ac:dyDescent="0.2">
      <c r="A933" s="24"/>
      <c r="B933" s="24"/>
      <c r="C933" s="24"/>
      <c r="D933" s="24"/>
      <c r="E933" s="24"/>
      <c r="F933" s="24"/>
      <c r="G933" s="24"/>
      <c r="H933" s="24"/>
      <c r="I933" s="24"/>
      <c r="J933" s="55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ht="12.75" x14ac:dyDescent="0.2">
      <c r="A934" s="24"/>
      <c r="B934" s="24"/>
      <c r="C934" s="24"/>
      <c r="D934" s="24"/>
      <c r="E934" s="24"/>
      <c r="F934" s="24"/>
      <c r="G934" s="24"/>
      <c r="H934" s="24"/>
      <c r="I934" s="24"/>
      <c r="J934" s="55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ht="12.75" x14ac:dyDescent="0.2">
      <c r="A935" s="24"/>
      <c r="B935" s="24"/>
      <c r="C935" s="24"/>
      <c r="D935" s="24"/>
      <c r="E935" s="24"/>
      <c r="F935" s="24"/>
      <c r="G935" s="24"/>
      <c r="H935" s="24"/>
      <c r="I935" s="24"/>
      <c r="J935" s="55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ht="12.75" x14ac:dyDescent="0.2">
      <c r="A936" s="24"/>
      <c r="B936" s="24"/>
      <c r="C936" s="24"/>
      <c r="D936" s="24"/>
      <c r="E936" s="24"/>
      <c r="F936" s="24"/>
      <c r="G936" s="24"/>
      <c r="H936" s="24"/>
      <c r="I936" s="24"/>
      <c r="J936" s="55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ht="12.75" x14ac:dyDescent="0.2">
      <c r="A937" s="24"/>
      <c r="B937" s="24"/>
      <c r="C937" s="24"/>
      <c r="D937" s="24"/>
      <c r="E937" s="24"/>
      <c r="F937" s="24"/>
      <c r="G937" s="24"/>
      <c r="H937" s="24"/>
      <c r="I937" s="24"/>
      <c r="J937" s="55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ht="12.75" x14ac:dyDescent="0.2">
      <c r="A938" s="24"/>
      <c r="B938" s="24"/>
      <c r="C938" s="24"/>
      <c r="D938" s="24"/>
      <c r="E938" s="24"/>
      <c r="F938" s="24"/>
      <c r="G938" s="24"/>
      <c r="H938" s="24"/>
      <c r="I938" s="24"/>
      <c r="J938" s="55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ht="12.75" x14ac:dyDescent="0.2">
      <c r="A939" s="24"/>
      <c r="B939" s="24"/>
      <c r="C939" s="24"/>
      <c r="D939" s="24"/>
      <c r="E939" s="24"/>
      <c r="F939" s="24"/>
      <c r="G939" s="24"/>
      <c r="H939" s="24"/>
      <c r="I939" s="24"/>
      <c r="J939" s="55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ht="12.75" x14ac:dyDescent="0.2">
      <c r="A940" s="24"/>
      <c r="B940" s="24"/>
      <c r="C940" s="24"/>
      <c r="D940" s="24"/>
      <c r="E940" s="24"/>
      <c r="F940" s="24"/>
      <c r="G940" s="24"/>
      <c r="H940" s="24"/>
      <c r="I940" s="24"/>
      <c r="J940" s="55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ht="12.75" x14ac:dyDescent="0.2">
      <c r="A941" s="24"/>
      <c r="B941" s="24"/>
      <c r="C941" s="24"/>
      <c r="D941" s="24"/>
      <c r="E941" s="24"/>
      <c r="F941" s="24"/>
      <c r="G941" s="24"/>
      <c r="H941" s="24"/>
      <c r="I941" s="24"/>
      <c r="J941" s="55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ht="12.75" x14ac:dyDescent="0.2">
      <c r="A942" s="24"/>
      <c r="B942" s="24"/>
      <c r="C942" s="24"/>
      <c r="D942" s="24"/>
      <c r="E942" s="24"/>
      <c r="F942" s="24"/>
      <c r="G942" s="24"/>
      <c r="H942" s="24"/>
      <c r="I942" s="24"/>
      <c r="J942" s="55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ht="12.75" x14ac:dyDescent="0.2">
      <c r="A943" s="24"/>
      <c r="B943" s="24"/>
      <c r="C943" s="24"/>
      <c r="D943" s="24"/>
      <c r="E943" s="24"/>
      <c r="F943" s="24"/>
      <c r="G943" s="24"/>
      <c r="H943" s="24"/>
      <c r="I943" s="24"/>
      <c r="J943" s="55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ht="12.75" x14ac:dyDescent="0.2">
      <c r="A944" s="24"/>
      <c r="B944" s="24"/>
      <c r="C944" s="24"/>
      <c r="D944" s="24"/>
      <c r="E944" s="24"/>
      <c r="F944" s="24"/>
      <c r="G944" s="24"/>
      <c r="H944" s="24"/>
      <c r="I944" s="24"/>
      <c r="J944" s="55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ht="12.75" x14ac:dyDescent="0.2">
      <c r="A945" s="24"/>
      <c r="B945" s="24"/>
      <c r="C945" s="24"/>
      <c r="D945" s="24"/>
      <c r="E945" s="24"/>
      <c r="F945" s="24"/>
      <c r="G945" s="24"/>
      <c r="H945" s="24"/>
      <c r="I945" s="24"/>
      <c r="J945" s="55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ht="12.75" x14ac:dyDescent="0.2">
      <c r="A946" s="24"/>
      <c r="B946" s="24"/>
      <c r="C946" s="24"/>
      <c r="D946" s="24"/>
      <c r="E946" s="24"/>
      <c r="F946" s="24"/>
      <c r="G946" s="24"/>
      <c r="H946" s="24"/>
      <c r="I946" s="24"/>
      <c r="J946" s="55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ht="12.75" x14ac:dyDescent="0.2">
      <c r="A947" s="24"/>
      <c r="B947" s="24"/>
      <c r="C947" s="24"/>
      <c r="D947" s="24"/>
      <c r="E947" s="24"/>
      <c r="F947" s="24"/>
      <c r="G947" s="24"/>
      <c r="H947" s="24"/>
      <c r="I947" s="24"/>
      <c r="J947" s="55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ht="12.75" x14ac:dyDescent="0.2">
      <c r="A948" s="24"/>
      <c r="B948" s="24"/>
      <c r="C948" s="24"/>
      <c r="D948" s="24"/>
      <c r="E948" s="24"/>
      <c r="F948" s="24"/>
      <c r="G948" s="24"/>
      <c r="H948" s="24"/>
      <c r="I948" s="24"/>
      <c r="J948" s="55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ht="12.75" x14ac:dyDescent="0.2">
      <c r="A949" s="24"/>
      <c r="B949" s="24"/>
      <c r="C949" s="24"/>
      <c r="D949" s="24"/>
      <c r="E949" s="24"/>
      <c r="F949" s="24"/>
      <c r="G949" s="24"/>
      <c r="H949" s="24"/>
      <c r="I949" s="24"/>
      <c r="J949" s="55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ht="12.75" x14ac:dyDescent="0.2">
      <c r="A950" s="24"/>
      <c r="B950" s="24"/>
      <c r="C950" s="24"/>
      <c r="D950" s="24"/>
      <c r="E950" s="24"/>
      <c r="F950" s="24"/>
      <c r="G950" s="24"/>
      <c r="H950" s="24"/>
      <c r="I950" s="24"/>
      <c r="J950" s="55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ht="12.75" x14ac:dyDescent="0.2">
      <c r="A951" s="24"/>
      <c r="B951" s="24"/>
      <c r="C951" s="24"/>
      <c r="D951" s="24"/>
      <c r="E951" s="24"/>
      <c r="F951" s="24"/>
      <c r="G951" s="24"/>
      <c r="H951" s="24"/>
      <c r="I951" s="24"/>
      <c r="J951" s="55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ht="12.75" x14ac:dyDescent="0.2">
      <c r="A952" s="24"/>
      <c r="B952" s="24"/>
      <c r="C952" s="24"/>
      <c r="D952" s="24"/>
      <c r="E952" s="24"/>
      <c r="F952" s="24"/>
      <c r="G952" s="24"/>
      <c r="H952" s="24"/>
      <c r="I952" s="24"/>
      <c r="J952" s="55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ht="12.75" x14ac:dyDescent="0.2">
      <c r="A953" s="24"/>
      <c r="B953" s="24"/>
      <c r="C953" s="24"/>
      <c r="D953" s="24"/>
      <c r="E953" s="24"/>
      <c r="F953" s="24"/>
      <c r="G953" s="24"/>
      <c r="H953" s="24"/>
      <c r="I953" s="24"/>
      <c r="J953" s="55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ht="12.75" x14ac:dyDescent="0.2">
      <c r="A954" s="24"/>
      <c r="B954" s="24"/>
      <c r="C954" s="24"/>
      <c r="D954" s="24"/>
      <c r="E954" s="24"/>
      <c r="F954" s="24"/>
      <c r="G954" s="24"/>
      <c r="H954" s="24"/>
      <c r="I954" s="24"/>
      <c r="J954" s="55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ht="12.75" x14ac:dyDescent="0.2">
      <c r="A955" s="24"/>
      <c r="B955" s="24"/>
      <c r="C955" s="24"/>
      <c r="D955" s="24"/>
      <c r="E955" s="24"/>
      <c r="F955" s="24"/>
      <c r="G955" s="24"/>
      <c r="H955" s="24"/>
      <c r="I955" s="24"/>
      <c r="J955" s="55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ht="12.75" x14ac:dyDescent="0.2">
      <c r="A956" s="24"/>
      <c r="B956" s="24"/>
      <c r="C956" s="24"/>
      <c r="D956" s="24"/>
      <c r="E956" s="24"/>
      <c r="F956" s="24"/>
      <c r="G956" s="24"/>
      <c r="H956" s="24"/>
      <c r="I956" s="24"/>
      <c r="J956" s="55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ht="12.75" x14ac:dyDescent="0.2">
      <c r="A957" s="24"/>
      <c r="B957" s="24"/>
      <c r="C957" s="24"/>
      <c r="D957" s="24"/>
      <c r="E957" s="24"/>
      <c r="F957" s="24"/>
      <c r="G957" s="24"/>
      <c r="H957" s="24"/>
      <c r="I957" s="24"/>
      <c r="J957" s="55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ht="12.75" x14ac:dyDescent="0.2">
      <c r="A958" s="24"/>
      <c r="B958" s="24"/>
      <c r="C958" s="24"/>
      <c r="D958" s="24"/>
      <c r="E958" s="24"/>
      <c r="F958" s="24"/>
      <c r="G958" s="24"/>
      <c r="H958" s="24"/>
      <c r="I958" s="24"/>
      <c r="J958" s="55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ht="12.75" x14ac:dyDescent="0.2">
      <c r="A959" s="24"/>
      <c r="B959" s="24"/>
      <c r="C959" s="24"/>
      <c r="D959" s="24"/>
      <c r="E959" s="24"/>
      <c r="F959" s="24"/>
      <c r="G959" s="24"/>
      <c r="H959" s="24"/>
      <c r="I959" s="24"/>
      <c r="J959" s="55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ht="12.75" x14ac:dyDescent="0.2">
      <c r="A960" s="24"/>
      <c r="B960" s="24"/>
      <c r="C960" s="24"/>
      <c r="D960" s="24"/>
      <c r="E960" s="24"/>
      <c r="F960" s="24"/>
      <c r="G960" s="24"/>
      <c r="H960" s="24"/>
      <c r="I960" s="24"/>
      <c r="J960" s="55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ht="12.75" x14ac:dyDescent="0.2">
      <c r="A961" s="24"/>
      <c r="B961" s="24"/>
      <c r="C961" s="24"/>
      <c r="D961" s="24"/>
      <c r="E961" s="24"/>
      <c r="F961" s="24"/>
      <c r="G961" s="24"/>
      <c r="H961" s="24"/>
      <c r="I961" s="24"/>
      <c r="J961" s="55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ht="12.75" x14ac:dyDescent="0.2">
      <c r="A962" s="24"/>
      <c r="B962" s="24"/>
      <c r="C962" s="24"/>
      <c r="D962" s="24"/>
      <c r="E962" s="24"/>
      <c r="F962" s="24"/>
      <c r="G962" s="24"/>
      <c r="H962" s="24"/>
      <c r="I962" s="24"/>
      <c r="J962" s="55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ht="12.75" x14ac:dyDescent="0.2">
      <c r="A963" s="24"/>
      <c r="B963" s="24"/>
      <c r="C963" s="24"/>
      <c r="D963" s="24"/>
      <c r="E963" s="24"/>
      <c r="F963" s="24"/>
      <c r="G963" s="24"/>
      <c r="H963" s="24"/>
      <c r="I963" s="24"/>
      <c r="J963" s="55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ht="12.75" x14ac:dyDescent="0.2">
      <c r="A964" s="24"/>
      <c r="B964" s="24"/>
      <c r="C964" s="24"/>
      <c r="D964" s="24"/>
      <c r="E964" s="24"/>
      <c r="F964" s="24"/>
      <c r="G964" s="24"/>
      <c r="H964" s="24"/>
      <c r="I964" s="24"/>
      <c r="J964" s="55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  <row r="965" spans="1:29" ht="12.75" x14ac:dyDescent="0.2">
      <c r="A965" s="24"/>
      <c r="B965" s="24"/>
      <c r="C965" s="24"/>
      <c r="D965" s="24"/>
      <c r="E965" s="24"/>
      <c r="F965" s="24"/>
      <c r="G965" s="24"/>
      <c r="H965" s="24"/>
      <c r="I965" s="24"/>
      <c r="J965" s="55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</row>
  </sheetData>
  <mergeCells count="71">
    <mergeCell ref="A11:B11"/>
    <mergeCell ref="E11:F11"/>
    <mergeCell ref="A13:B13"/>
    <mergeCell ref="E13:F13"/>
    <mergeCell ref="B14:B16"/>
    <mergeCell ref="A14:A16"/>
    <mergeCell ref="A17:B17"/>
    <mergeCell ref="E17:F17"/>
    <mergeCell ref="A27:A29"/>
    <mergeCell ref="B27:B29"/>
    <mergeCell ref="A31:A33"/>
    <mergeCell ref="B31:B33"/>
    <mergeCell ref="A18:A22"/>
    <mergeCell ref="B18:B22"/>
    <mergeCell ref="A23:B23"/>
    <mergeCell ref="A24:A25"/>
    <mergeCell ref="B24:B25"/>
    <mergeCell ref="A26:B26"/>
    <mergeCell ref="A30:B30"/>
    <mergeCell ref="E26:F26"/>
    <mergeCell ref="E30:F30"/>
    <mergeCell ref="E23:F23"/>
    <mergeCell ref="E5:F5"/>
    <mergeCell ref="J5:K5"/>
    <mergeCell ref="K6:L6"/>
    <mergeCell ref="A1:B5"/>
    <mergeCell ref="C1:D1"/>
    <mergeCell ref="C2:D2"/>
    <mergeCell ref="E3:L3"/>
    <mergeCell ref="C3:D3"/>
    <mergeCell ref="E4:L4"/>
    <mergeCell ref="E1:L2"/>
    <mergeCell ref="A7:B7"/>
    <mergeCell ref="E7:F7"/>
    <mergeCell ref="A8:A10"/>
    <mergeCell ref="B8:B10"/>
    <mergeCell ref="K9:L9"/>
    <mergeCell ref="K10:L10"/>
    <mergeCell ref="K7:L7"/>
    <mergeCell ref="K8:L8"/>
    <mergeCell ref="K21:L21"/>
    <mergeCell ref="K22:L22"/>
    <mergeCell ref="K11:L11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32:L32"/>
    <mergeCell ref="K33:L33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A35:B35"/>
    <mergeCell ref="E35:F35"/>
    <mergeCell ref="K35:L35"/>
    <mergeCell ref="A36:A39"/>
    <mergeCell ref="B36:B39"/>
    <mergeCell ref="K36:L36"/>
    <mergeCell ref="K37:L37"/>
    <mergeCell ref="K39:L39"/>
  </mergeCells>
  <conditionalFormatting sqref="F3 F5:F1048576">
    <cfRule type="cellIs" dxfId="2" priority="1" operator="equal">
      <formula>"En Progreso"</formula>
    </cfRule>
    <cfRule type="cellIs" dxfId="1" priority="2" operator="equal">
      <formula>"Listo"</formula>
    </cfRule>
    <cfRule type="cellIs" dxfId="0" priority="3" operator="equal">
      <formula>"Pendiente"</formula>
    </cfRule>
  </conditionalFormatting>
  <dataValidations count="1">
    <dataValidation type="list" allowBlank="1" showInputMessage="1" showErrorMessage="1" prompt="Estado" sqref="F8:F10 F12 F14:F16 F18:F22 F24:F25 F27:F29 F31:F33 F36:F39" xr:uid="{00000000-0002-0000-0000-000000000000}">
      <formula1>"Pendiente,En Progreso,Listo"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3E6598DBFED694A8844B31B37D92879" ma:contentTypeVersion="16" ma:contentTypeDescription="Crear nuevo documento." ma:contentTypeScope="" ma:versionID="d5b483f30a2498d8d2afa12323c34ab0">
  <xsd:schema xmlns:xsd="http://www.w3.org/2001/XMLSchema" xmlns:xs="http://www.w3.org/2001/XMLSchema" xmlns:p="http://schemas.microsoft.com/office/2006/metadata/properties" xmlns:ns3="663be9c4-af67-4e26-a07a-cc2a7057499c" xmlns:ns4="b391b5e1-70e0-47ac-8acb-6a165ccad77a" targetNamespace="http://schemas.microsoft.com/office/2006/metadata/properties" ma:root="true" ma:fieldsID="c404480755ed086893e4048a7b6840d6" ns3:_="" ns4:_="">
    <xsd:import namespace="663be9c4-af67-4e26-a07a-cc2a7057499c"/>
    <xsd:import namespace="b391b5e1-70e0-47ac-8acb-6a165ccad7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3be9c4-af67-4e26-a07a-cc2a705749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1b5e1-70e0-47ac-8acb-6a165ccad7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391b5e1-70e0-47ac-8acb-6a165ccad77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047DF5-D445-4B88-ABC5-88D5A163BD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3be9c4-af67-4e26-a07a-cc2a7057499c"/>
    <ds:schemaRef ds:uri="b391b5e1-70e0-47ac-8acb-6a165ccad7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BB2FDE-AC27-4F6F-82CB-6B36F9717447}">
  <ds:schemaRefs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b391b5e1-70e0-47ac-8acb-6a165ccad77a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663be9c4-af67-4e26-a07a-cc2a7057499c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CA83127-094E-45A2-A6A7-7302832131A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 Adempa Fase II</vt:lpstr>
      <vt:lpstr>Calculadora Adempa Fase 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Pixel Dark</dc:creator>
  <cp:lastModifiedBy>Julio Calderón</cp:lastModifiedBy>
  <dcterms:created xsi:type="dcterms:W3CDTF">2024-06-11T17:10:22Z</dcterms:created>
  <dcterms:modified xsi:type="dcterms:W3CDTF">2024-10-03T15:12:15Z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0x010100D3E6598DBFED694A8844B31B37D92879</vt:lpwstr>
  </property>
</Properties>
</file>